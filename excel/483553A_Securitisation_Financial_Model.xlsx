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X Measure Dictionary" sheetId="1" state="visible" r:id="rId1"/>
    <sheet name="IFRS 9 ECL Model Crosscheck" sheetId="2" state="visible" r:id="rId2"/>
    <sheet name="Cash Flow Waterfall Engine" sheetId="3" state="visible" r:id="rId3"/>
    <sheet name="DPD Roll Rate Transition Matrix" sheetId="4" state="visible" r:id="rId4"/>
    <sheet name="Dynamic Loss &amp; Vintage Analysis" sheetId="5" state="visible" r:id="rId5"/>
    <sheet name="Arena 5-Year SaaS Mod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₹#,##0.0"/>
    <numFmt numFmtId="166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555555"/>
      <sz val="11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onsolas"/>
      <sz val="9.5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9FAFB"/>
        <bgColor rgb="00F9FAFB"/>
      </patternFill>
    </fill>
    <fill>
      <patternFill patternType="solid">
        <fgColor rgb="00E8F1F5"/>
        <bgColor rgb="00E8F1F5"/>
      </patternFill>
    </fill>
    <fill>
      <patternFill patternType="solid">
        <fgColor rgb="00E6F4EA"/>
        <bgColor rgb="00E6F4EA"/>
      </patternFill>
    </fill>
    <fill>
      <patternFill patternType="solid">
        <fgColor rgb="00FCE8E6"/>
        <bgColor rgb="00FCE8E6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top style="thin">
        <color rgb="001B365D"/>
      </top>
      <bottom style="double">
        <color rgb="001B365D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4" fillId="0" borderId="1" applyAlignment="1" pivotButton="0" quotePrefix="0" xfId="0">
      <alignment horizontal="right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0" fontId="4" fillId="3" borderId="1" pivotButton="0" quotePrefix="0" xfId="0"/>
    <xf numFmtId="0" fontId="5" fillId="3" borderId="1" pivotButton="0" quotePrefix="0" xfId="0"/>
    <xf numFmtId="0" fontId="4" fillId="3" borderId="1" applyAlignment="1" pivotButton="0" quotePrefix="0" xfId="0">
      <alignment horizontal="right"/>
    </xf>
    <xf numFmtId="3" fontId="0" fillId="0" borderId="1" applyAlignment="1" pivotButton="0" quotePrefix="0" xfId="0">
      <alignment horizontal="right"/>
    </xf>
    <xf numFmtId="164" fontId="0" fillId="0" borderId="1" pivotButton="0" quotePrefix="0" xfId="0"/>
    <xf numFmtId="10" fontId="0" fillId="0" borderId="1" pivotButton="0" quotePrefix="0" xfId="0"/>
    <xf numFmtId="164" fontId="4" fillId="0" borderId="1" pivotButton="0" quotePrefix="0" xfId="0"/>
    <xf numFmtId="0" fontId="4" fillId="4" borderId="2" pivotButton="0" quotePrefix="0" xfId="0"/>
    <xf numFmtId="3" fontId="4" fillId="4" borderId="2" pivotButton="0" quotePrefix="0" xfId="0"/>
    <xf numFmtId="164" fontId="4" fillId="4" borderId="2" pivotButton="0" quotePrefix="0" xfId="0"/>
    <xf numFmtId="10" fontId="4" fillId="4" borderId="2" pivotButton="0" quotePrefix="0" xfId="0"/>
    <xf numFmtId="0" fontId="4" fillId="0" borderId="0" pivotButton="0" quotePrefix="0" xfId="0"/>
    <xf numFmtId="10" fontId="4" fillId="0" borderId="1" pivotButton="0" quotePrefix="0" xfId="0"/>
    <xf numFmtId="0" fontId="4" fillId="5" borderId="1" applyAlignment="1" pivotButton="0" quotePrefix="0" xfId="0">
      <alignment horizontal="center"/>
    </xf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10" fontId="4" fillId="4" borderId="1" applyAlignment="1" pivotButton="0" quotePrefix="0" xfId="0">
      <alignment horizontal="right"/>
    </xf>
    <xf numFmtId="10" fontId="0" fillId="0" borderId="1" applyAlignment="1" pivotButton="0" quotePrefix="0" xfId="0">
      <alignment horizontal="right"/>
    </xf>
    <xf numFmtId="10" fontId="0" fillId="6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0" fontId="4" fillId="4" borderId="1" pivotButton="0" quotePrefix="0" xfId="0"/>
    <xf numFmtId="0" fontId="4" fillId="4" borderId="1" applyAlignment="1" pivotButton="0" quotePrefix="0" xfId="0">
      <alignment horizontal="center"/>
    </xf>
    <xf numFmtId="165" fontId="4" fillId="4" borderId="1" applyAlignment="1" pivotButton="0" quotePrefix="0" xfId="0">
      <alignment horizontal="right"/>
    </xf>
    <xf numFmtId="0" fontId="4" fillId="0" borderId="1" applyAlignment="1" pivotButton="0" quotePrefix="0" xfId="0">
      <alignment horizontal="center"/>
    </xf>
    <xf numFmtId="165" fontId="4" fillId="0" borderId="1" applyAlignment="1" pivotButton="0" quotePrefix="0" xfId="0">
      <alignment horizontal="right"/>
    </xf>
    <xf numFmtId="166" fontId="4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32" customWidth="1" min="3" max="3"/>
    <col width="45" customWidth="1" min="4" max="4"/>
    <col width="45" customWidth="1" min="5" max="5"/>
    <col width="25" customWidth="1" min="6" max="6"/>
  </cols>
  <sheetData>
    <row r="1">
      <c r="A1" s="1" t="inlineStr">
        <is>
          <t>SECURITISATION RISK ANALYTICS - DAX MEASURE DICTIONARY</t>
        </is>
      </c>
    </row>
    <row r="2">
      <c r="A2" s="2" t="inlineStr">
        <is>
          <t>Project Code: 483553A | Standard: Microsoft Power BI &amp; Tabular Model | 85 Production Measures</t>
        </is>
      </c>
    </row>
    <row r="4">
      <c r="A4" s="3" t="inlineStr">
        <is>
          <t>ID</t>
        </is>
      </c>
      <c r="B4" s="3" t="inlineStr">
        <is>
          <t>Category</t>
        </is>
      </c>
      <c r="C4" s="4" t="inlineStr">
        <is>
          <t>Measure Name</t>
        </is>
      </c>
      <c r="D4" s="4" t="inlineStr">
        <is>
          <t>DAX Syntax / Formula</t>
        </is>
      </c>
      <c r="E4" s="4" t="inlineStr">
        <is>
          <t>Business Purpose &amp; Analytical Rationale</t>
        </is>
      </c>
      <c r="F4" s="4" t="inlineStr">
        <is>
          <t>Baseline Value / Output</t>
        </is>
      </c>
    </row>
    <row r="5">
      <c r="A5" s="5" t="n">
        <v>1</v>
      </c>
      <c r="B5" s="6" t="inlineStr">
        <is>
          <t>CATEGORY 1: POOL BALANCE &amp; AGGREGATION MEASURES</t>
        </is>
      </c>
      <c r="C5" s="7" t="inlineStr">
        <is>
          <t>Total Current Balance</t>
        </is>
      </c>
      <c r="D5" s="8" t="inlineStr">
        <is>
          <t>SUM(FactMonthlyPerformance[CurrentBalance])</t>
        </is>
      </c>
      <c r="E5" s="6" t="inlineStr">
        <is>
          <t>Surveillance of portfolio total current balance to monitor credit risk, investor distributions, and rating thresholds.</t>
        </is>
      </c>
      <c r="F5" s="9" t="inlineStr">
        <is>
          <t>₹317,785,202.14</t>
        </is>
      </c>
    </row>
    <row r="6">
      <c r="A6" s="10" t="n">
        <v>2</v>
      </c>
      <c r="B6" s="11" t="inlineStr">
        <is>
          <t>CATEGORY 1: POOL BALANCE &amp; AGGREGATION MEASURES</t>
        </is>
      </c>
      <c r="C6" s="12" t="inlineStr">
        <is>
          <t>Total Original Balance</t>
        </is>
      </c>
      <c r="D6" s="13" t="inlineStr">
        <is>
          <t>CALCULATE(
SUM(DimLoan[OriginalLoanAmount]),
ALL(DimDate)
)</t>
        </is>
      </c>
      <c r="E6" s="11" t="inlineStr">
        <is>
          <t>Surveillance of portfolio total original balance to monitor credit risk, investor distributions, and rating thresholds.</t>
        </is>
      </c>
      <c r="F6" s="14" t="inlineStr">
        <is>
          <t>Dynamic / Scenario Dependent</t>
        </is>
      </c>
    </row>
    <row r="7">
      <c r="A7" s="5" t="n">
        <v>3</v>
      </c>
      <c r="B7" s="6" t="inlineStr">
        <is>
          <t>CATEGORY 1: POOL BALANCE &amp; AGGREGATION MEASURES</t>
        </is>
      </c>
      <c r="C7" s="7" t="inlineStr">
        <is>
          <t>Pool Factor</t>
        </is>
      </c>
      <c r="D7" s="8" t="inlineStr">
        <is>
          <t>DIVIDE(
[Total Current Balance],
[Total Original Balance],
0.0
)</t>
        </is>
      </c>
      <c r="E7" s="6" t="inlineStr">
        <is>
          <t>Surveillance of portfolio pool factor to monitor credit risk, investor distributions, and rating thresholds.</t>
        </is>
      </c>
      <c r="F7" s="9" t="inlineStr">
        <is>
          <t>58.19%</t>
        </is>
      </c>
    </row>
    <row r="8">
      <c r="A8" s="10" t="n">
        <v>4</v>
      </c>
      <c r="B8" s="11" t="inlineStr">
        <is>
          <t>CATEGORY 1: POOL BALANCE &amp; AGGREGATION MEASURES</t>
        </is>
      </c>
      <c r="C8" s="12" t="inlineStr">
        <is>
          <t>Total Loan Count</t>
        </is>
      </c>
      <c r="D8" s="13" t="inlineStr">
        <is>
          <t>COUNTROWS(DimLoan)</t>
        </is>
      </c>
      <c r="E8" s="11" t="inlineStr">
        <is>
          <t>Surveillance of portfolio total loan count to monitor credit risk, investor distributions, and rating thresholds.</t>
        </is>
      </c>
      <c r="F8" s="14" t="inlineStr">
        <is>
          <t>Dynamic / Scenario Dependent</t>
        </is>
      </c>
    </row>
    <row r="9">
      <c r="A9" s="5" t="n">
        <v>5</v>
      </c>
      <c r="B9" s="6" t="inlineStr">
        <is>
          <t>CATEGORY 1: POOL BALANCE &amp; AGGREGATION MEASURES</t>
        </is>
      </c>
      <c r="C9" s="7" t="inlineStr">
        <is>
          <t>Active Loans Count</t>
        </is>
      </c>
      <c r="D9" s="8" t="inlineStr">
        <is>
          <t>CALCULATE(
COUNTROWS(FactMonthlyPerformance),
FactMonthlyPerformance[CurrentBalance] &gt; 0
)</t>
        </is>
      </c>
      <c r="E9" s="6" t="inlineStr">
        <is>
          <t>Surveillance of portfolio active loans count to monitor credit risk, investor distributions, and rating thresholds.</t>
        </is>
      </c>
      <c r="F9" s="9" t="inlineStr">
        <is>
          <t>Dynamic / Scenario Dependent</t>
        </is>
      </c>
    </row>
    <row r="10">
      <c r="A10" s="10" t="n">
        <v>6</v>
      </c>
      <c r="B10" s="11" t="inlineStr">
        <is>
          <t>CATEGORY 1: POOL BALANCE &amp; AGGREGATION MEASURES</t>
        </is>
      </c>
      <c r="C10" s="12" t="inlineStr">
        <is>
          <t>Defaulted Loans Count</t>
        </is>
      </c>
      <c r="D10" s="13" t="inlineStr">
        <is>
          <t>CALCULATE(
COUNTROWS(DimLoan),
DimLoan[IsDefaulted] = TRUE()
)</t>
        </is>
      </c>
      <c r="E10" s="11" t="inlineStr">
        <is>
          <t>Surveillance of portfolio defaulted loans count to monitor credit risk, investor distributions, and rating thresholds.</t>
        </is>
      </c>
      <c r="F10" s="14" t="inlineStr">
        <is>
          <t>Dynamic / Scenario Dependent</t>
        </is>
      </c>
    </row>
    <row r="11">
      <c r="A11" s="5" t="n">
        <v>7</v>
      </c>
      <c r="B11" s="6" t="inlineStr">
        <is>
          <t>CATEGORY 1: POOL BALANCE &amp; AGGREGATION MEASURES</t>
        </is>
      </c>
      <c r="C11" s="7" t="inlineStr">
        <is>
          <t>Prepaid Loans Count</t>
        </is>
      </c>
      <c r="D11" s="8" t="inlineStr">
        <is>
          <t>CALCULATE(
COUNTROWS(DimLoan),
DimLoan[CurrentBalance] = 0,
DimLoan[IsDefaulted] = FALSE()
)</t>
        </is>
      </c>
      <c r="E11" s="6" t="inlineStr">
        <is>
          <t>Surveillance of portfolio prepaid loans count to monitor credit risk, investor distributions, and rating thresholds.</t>
        </is>
      </c>
      <c r="F11" s="9" t="inlineStr">
        <is>
          <t>Dynamic / Scenario Dependent</t>
        </is>
      </c>
    </row>
    <row r="12">
      <c r="A12" s="10" t="n">
        <v>8</v>
      </c>
      <c r="B12" s="11" t="inlineStr">
        <is>
          <t>CATEGORY 1: POOL BALANCE &amp; AGGREGATION MEASURES</t>
        </is>
      </c>
      <c r="C12" s="12" t="inlineStr">
        <is>
          <t>Total Scheduled Payment Due</t>
        </is>
      </c>
      <c r="D12" s="13" t="inlineStr">
        <is>
          <t>SUM(DimLoan[ScheduledPaymentDue])</t>
        </is>
      </c>
      <c r="E12" s="11" t="inlineStr">
        <is>
          <t>Surveillance of portfolio total scheduled payment due to monitor credit risk, investor distributions, and rating thresholds.</t>
        </is>
      </c>
      <c r="F12" s="14" t="inlineStr">
        <is>
          <t>Dynamic / Scenario Dependent</t>
        </is>
      </c>
    </row>
    <row r="13">
      <c r="A13" s="5" t="n">
        <v>9</v>
      </c>
      <c r="B13" s="6" t="inlineStr">
        <is>
          <t>CATEGORY 1: POOL BALANCE &amp; AGGREGATION MEASURES</t>
        </is>
      </c>
      <c r="C13" s="7" t="inlineStr">
        <is>
          <t>Total Actual Payment Received</t>
        </is>
      </c>
      <c r="D13" s="8" t="inlineStr">
        <is>
          <t>SUM(DimLoan[LastPaymentAmount])</t>
        </is>
      </c>
      <c r="E13" s="6" t="inlineStr">
        <is>
          <t>Surveillance of portfolio total actual payment received to monitor credit risk, investor distributions, and rating thresholds.</t>
        </is>
      </c>
      <c r="F13" s="9" t="inlineStr">
        <is>
          <t>Dynamic / Scenario Dependent</t>
        </is>
      </c>
    </row>
    <row r="14">
      <c r="A14" s="10" t="n">
        <v>10</v>
      </c>
      <c r="B14" s="11" t="inlineStr">
        <is>
          <t>CATEGORY 1: POOL BALANCE &amp; AGGREGATION MEASURES</t>
        </is>
      </c>
      <c r="C14" s="12" t="inlineStr">
        <is>
          <t>Collection Efficiency</t>
        </is>
      </c>
      <c r="D14" s="13" t="inlineStr">
        <is>
          <t>DIVIDE(
[Total Actual Payment Received],
[Total Scheduled Payment Due],
0.0
)</t>
        </is>
      </c>
      <c r="E14" s="11" t="inlineStr">
        <is>
          <t>Surveillance of portfolio collection efficiency to monitor credit risk, investor distributions, and rating thresholds.</t>
        </is>
      </c>
      <c r="F14" s="14" t="inlineStr">
        <is>
          <t>Dynamic / Scenario Dependent</t>
        </is>
      </c>
    </row>
    <row r="15">
      <c r="A15" s="5" t="n">
        <v>11</v>
      </c>
      <c r="B15" s="6" t="inlineStr">
        <is>
          <t>CATEGORY 2: WEIGHTED AVERAGE MEASURES</t>
        </is>
      </c>
      <c r="C15" s="7" t="inlineStr">
        <is>
          <t>WAC</t>
        </is>
      </c>
      <c r="D15" s="8" t="inlineStr">
        <is>
          <t>DIVIDE(
SUMX(DimLoan, DimLoan[CurrentBalance] * DimLoan[InterestRate]),
[Total Current Balance],
0.0
)</t>
        </is>
      </c>
      <c r="E15" s="6" t="inlineStr">
        <is>
          <t>Surveillance of portfolio wac to monitor credit risk, investor distributions, and rating thresholds.</t>
        </is>
      </c>
      <c r="F15" s="9" t="inlineStr">
        <is>
          <t>10.95%</t>
        </is>
      </c>
    </row>
    <row r="16">
      <c r="A16" s="10" t="n">
        <v>12</v>
      </c>
      <c r="B16" s="11" t="inlineStr">
        <is>
          <t>CATEGORY 2: WEIGHTED AVERAGE MEASURES</t>
        </is>
      </c>
      <c r="C16" s="12" t="inlineStr">
        <is>
          <t>WAM</t>
        </is>
      </c>
      <c r="D16" s="13" t="inlineStr">
        <is>
          <t>DIVIDE(
SUMX(DimLoan, DimLoan[CurrentBalance] * DimLoan[RemainingTerm]),
[Total Current Balance],
0.0
)</t>
        </is>
      </c>
      <c r="E16" s="11" t="inlineStr">
        <is>
          <t>Surveillance of portfolio wam to monitor credit risk, investor distributions, and rating thresholds.</t>
        </is>
      </c>
      <c r="F16" s="14" t="inlineStr">
        <is>
          <t>45.1 Months</t>
        </is>
      </c>
    </row>
    <row r="17">
      <c r="A17" s="5" t="n">
        <v>13</v>
      </c>
      <c r="B17" s="6" t="inlineStr">
        <is>
          <t>CATEGORY 2: WEIGHTED AVERAGE MEASURES</t>
        </is>
      </c>
      <c r="C17" s="7" t="inlineStr">
        <is>
          <t>WALA</t>
        </is>
      </c>
      <c r="D17" s="8" t="inlineStr">
        <is>
          <t>DIVIDE(
SUMX(DimLoan, DimLoan[CurrentBalance] * DimLoan[MonthsOnBook]),
[Total Current Balance],
0.0
)</t>
        </is>
      </c>
      <c r="E17" s="6" t="inlineStr">
        <is>
          <t>Surveillance of portfolio wala to monitor credit risk, investor distributions, and rating thresholds.</t>
        </is>
      </c>
      <c r="F17" s="9" t="inlineStr">
        <is>
          <t>16.8 Months</t>
        </is>
      </c>
    </row>
    <row r="18">
      <c r="A18" s="10" t="n">
        <v>14</v>
      </c>
      <c r="B18" s="11" t="inlineStr">
        <is>
          <t>CATEGORY 2: WEIGHTED AVERAGE MEASURES</t>
        </is>
      </c>
      <c r="C18" s="12" t="inlineStr">
        <is>
          <t>WALT</t>
        </is>
      </c>
      <c r="D18" s="13" t="inlineStr">
        <is>
          <t>DIVIDE(
SUMX(DimLoan, DimLoan[OriginalLoanAmount] * DimLoan[OriginalTerm]),
[Total Original Balance],
0.0
)</t>
        </is>
      </c>
      <c r="E18" s="11" t="inlineStr">
        <is>
          <t>Surveillance of portfolio walt to monitor credit risk, investor distributions, and rating thresholds.</t>
        </is>
      </c>
      <c r="F18" s="14" t="inlineStr">
        <is>
          <t>Dynamic / Scenario Dependent</t>
        </is>
      </c>
    </row>
    <row r="19">
      <c r="A19" s="5" t="n">
        <v>15</v>
      </c>
      <c r="B19" s="6" t="inlineStr">
        <is>
          <t>CATEGORY 2: WEIGHTED AVERAGE MEASURES</t>
        </is>
      </c>
      <c r="C19" s="7" t="inlineStr">
        <is>
          <t>Weighted Average Current LTV</t>
        </is>
      </c>
      <c r="D19" s="8" t="inlineStr">
        <is>
          <t>DIVIDE(
SUMX(DimLoan, DimLoan[CurrentBalance] * DimLoan[LTV_Current]),
[Total Current Balance],
0.0
)</t>
        </is>
      </c>
      <c r="E19" s="6" t="inlineStr">
        <is>
          <t>Surveillance of portfolio weighted average current ltv to monitor credit risk, investor distributions, and rating thresholds.</t>
        </is>
      </c>
      <c r="F19" s="9" t="inlineStr">
        <is>
          <t>Dynamic / Scenario Dependent</t>
        </is>
      </c>
    </row>
    <row r="20">
      <c r="A20" s="10" t="n">
        <v>16</v>
      </c>
      <c r="B20" s="11" t="inlineStr">
        <is>
          <t>CATEGORY 2: WEIGHTED AVERAGE MEASURES</t>
        </is>
      </c>
      <c r="C20" s="12" t="inlineStr">
        <is>
          <t>Weighted Average Origination LTV</t>
        </is>
      </c>
      <c r="D20" s="13" t="inlineStr">
        <is>
          <t>DIVIDE(
SUMX(DimLoan, DimLoan[OriginalLoanAmount] * DimLoan[LTV_AtOrigination]),
[Total Original Balance],
0.0
)</t>
        </is>
      </c>
      <c r="E20" s="11" t="inlineStr">
        <is>
          <t>Surveillance of portfolio weighted average origination ltv to monitor credit risk, investor distributions, and rating thresholds.</t>
        </is>
      </c>
      <c r="F20" s="14" t="inlineStr">
        <is>
          <t>Dynamic / Scenario Dependent</t>
        </is>
      </c>
    </row>
    <row r="21">
      <c r="A21" s="5" t="n">
        <v>17</v>
      </c>
      <c r="B21" s="6" t="inlineStr">
        <is>
          <t>CATEGORY 2: WEIGHTED AVERAGE MEASURES</t>
        </is>
      </c>
      <c r="C21" s="7" t="inlineStr">
        <is>
          <t>Weighted Average Current CIBIL</t>
        </is>
      </c>
      <c r="D21" s="8" t="inlineStr">
        <is>
          <t>DIVIDE(
SUMX(DimLoan, DimLoan[CurrentBalance] * DimBorrower[CIBIL_Score_Current]),
[Total Current Balance],
0.0
)</t>
        </is>
      </c>
      <c r="E21" s="6" t="inlineStr">
        <is>
          <t>Surveillance of portfolio weighted average current cibil to monitor credit risk, investor distributions, and rating thresholds.</t>
        </is>
      </c>
      <c r="F21" s="9" t="inlineStr">
        <is>
          <t>Dynamic / Scenario Dependent</t>
        </is>
      </c>
    </row>
    <row r="22">
      <c r="A22" s="10" t="n">
        <v>18</v>
      </c>
      <c r="B22" s="11" t="inlineStr">
        <is>
          <t>CATEGORY 2: WEIGHTED AVERAGE MEASURES</t>
        </is>
      </c>
      <c r="C22" s="12" t="inlineStr">
        <is>
          <t>Weighted Average Origination CIBIL</t>
        </is>
      </c>
      <c r="D22" s="13" t="inlineStr">
        <is>
          <t>DIVIDE(
SUMX(DimLoan, DimLoan[OriginalLoanAmount] * DimBorrower[CIBIL_Score_Origination]),
[Total Original Balance],
0.0
)</t>
        </is>
      </c>
      <c r="E22" s="11" t="inlineStr">
        <is>
          <t>Surveillance of portfolio weighted average origination cibil to monitor credit risk, investor distributions, and rating thresholds.</t>
        </is>
      </c>
      <c r="F22" s="14" t="inlineStr">
        <is>
          <t>Dynamic / Scenario Dependent</t>
        </is>
      </c>
    </row>
    <row r="23">
      <c r="A23" s="5" t="n">
        <v>19</v>
      </c>
      <c r="B23" s="6" t="inlineStr">
        <is>
          <t>CATEGORY 2: WEIGHTED AVERAGE MEASURES</t>
        </is>
      </c>
      <c r="C23" s="7" t="inlineStr">
        <is>
          <t>Weighted Average DTI</t>
        </is>
      </c>
      <c r="D23" s="8" t="inlineStr">
        <is>
          <t>DIVIDE(
SUMX(DimLoan, DimLoan[CurrentBalance] * DimBorrower[DTI_Ratio]),
[Total Current Balance],
0.0
)</t>
        </is>
      </c>
      <c r="E23" s="6" t="inlineStr">
        <is>
          <t>Surveillance of portfolio weighted average dti to monitor credit risk, investor distributions, and rating thresholds.</t>
        </is>
      </c>
      <c r="F23" s="9" t="inlineStr">
        <is>
          <t>Dynamic / Scenario Dependent</t>
        </is>
      </c>
    </row>
    <row r="24">
      <c r="A24" s="10" t="n">
        <v>20</v>
      </c>
      <c r="B24" s="11" t="inlineStr">
        <is>
          <t>CATEGORY 2: WEIGHTED AVERAGE MEASURES</t>
        </is>
      </c>
      <c r="C24" s="12" t="inlineStr">
        <is>
          <t>Weighted Average Vehicle Age</t>
        </is>
      </c>
      <c r="D24" s="13" t="inlineStr">
        <is>
          <t>VAR CurrentYr = YEAR(TODAY())
RETURN
DIVIDE(
SUMX(DimLoan, DimLoan[CurrentBalance] * (CurrentYr - DimVehicle[VehicleYear])),
[Total Current Balance],
0.0
)</t>
        </is>
      </c>
      <c r="E24" s="11" t="inlineStr">
        <is>
          <t>Surveillance of portfolio weighted average vehicle age to monitor credit risk, investor distributions, and rating thresholds.</t>
        </is>
      </c>
      <c r="F24" s="14" t="inlineStr">
        <is>
          <t>Dynamic / Scenario Dependent</t>
        </is>
      </c>
    </row>
    <row r="25">
      <c r="A25" s="5" t="n">
        <v>21</v>
      </c>
      <c r="B25" s="6" t="inlineStr">
        <is>
          <t>CATEGORY 3: DELINQUENCY &amp; DPD BUCKET MEASURES</t>
        </is>
      </c>
      <c r="C25" s="7" t="inlineStr">
        <is>
          <t>Current Performing Balance</t>
        </is>
      </c>
      <c r="D25" s="8" t="inlineStr">
        <is>
          <t>CALCULATE(
[Total Current Balance],
FactMonthlyPerformance[DelinquencyDays] = 0
)</t>
        </is>
      </c>
      <c r="E25" s="6" t="inlineStr">
        <is>
          <t>Surveillance of portfolio current performing balance to monitor credit risk, investor distributions, and rating thresholds.</t>
        </is>
      </c>
      <c r="F25" s="9" t="inlineStr">
        <is>
          <t>Dynamic / Scenario Dependent</t>
        </is>
      </c>
    </row>
    <row r="26">
      <c r="A26" s="10" t="n">
        <v>22</v>
      </c>
      <c r="B26" s="11" t="inlineStr">
        <is>
          <t>CATEGORY 3: DELINQUENCY &amp; DPD BUCKET MEASURES</t>
        </is>
      </c>
      <c r="C26" s="12" t="inlineStr">
        <is>
          <t>1-29 DPD Balance</t>
        </is>
      </c>
      <c r="D26" s="13" t="inlineStr">
        <is>
          <t>CALCULATE(
[Total Current Balance],
FactMonthlyPerformance[DelinquencyDays] &gt;= 1,
FactMonthlyPerformance[DelinquencyDays] &lt; 30
)</t>
        </is>
      </c>
      <c r="E26" s="11" t="inlineStr">
        <is>
          <t>Surveillance of portfolio 1-29 dpd balance to monitor credit risk, investor distributions, and rating thresholds.</t>
        </is>
      </c>
      <c r="F26" s="14" t="inlineStr">
        <is>
          <t>Dynamic / Scenario Dependent</t>
        </is>
      </c>
    </row>
    <row r="27">
      <c r="A27" s="5" t="n">
        <v>23</v>
      </c>
      <c r="B27" s="6" t="inlineStr">
        <is>
          <t>CATEGORY 3: DELINQUENCY &amp; DPD BUCKET MEASURES</t>
        </is>
      </c>
      <c r="C27" s="7" t="inlineStr">
        <is>
          <t>30-59 DPD Balance</t>
        </is>
      </c>
      <c r="D27" s="8" t="inlineStr">
        <is>
          <t>CALCULATE(
[Total Current Balance],
FactMonthlyPerformance[DelinquencyDays] &gt;= 30,
FactMonthlyPerformance[DelinquencyDays] &lt; 60
)</t>
        </is>
      </c>
      <c r="E27" s="6" t="inlineStr">
        <is>
          <t>Surveillance of portfolio 30-59 dpd balance to monitor credit risk, investor distributions, and rating thresholds.</t>
        </is>
      </c>
      <c r="F27" s="9" t="inlineStr">
        <is>
          <t>Dynamic / Scenario Dependent</t>
        </is>
      </c>
    </row>
    <row r="28">
      <c r="A28" s="10" t="n">
        <v>24</v>
      </c>
      <c r="B28" s="11" t="inlineStr">
        <is>
          <t>CATEGORY 3: DELINQUENCY &amp; DPD BUCKET MEASURES</t>
        </is>
      </c>
      <c r="C28" s="12" t="inlineStr">
        <is>
          <t>60-89 DPD Balance</t>
        </is>
      </c>
      <c r="D28" s="13" t="inlineStr">
        <is>
          <t>CALCULATE(
[Total Current Balance],
FactMonthlyPerformance[DelinquencyDays] &gt;= 60,
FactMonthlyPerformance[DelinquencyDays] &lt; 90
)</t>
        </is>
      </c>
      <c r="E28" s="11" t="inlineStr">
        <is>
          <t>Surveillance of portfolio 60-89 dpd balance to monitor credit risk, investor distributions, and rating thresholds.</t>
        </is>
      </c>
      <c r="F28" s="14" t="inlineStr">
        <is>
          <t>Dynamic / Scenario Dependent</t>
        </is>
      </c>
    </row>
    <row r="29">
      <c r="A29" s="5" t="n">
        <v>25</v>
      </c>
      <c r="B29" s="6" t="inlineStr">
        <is>
          <t>CATEGORY 3: DELINQUENCY &amp; DPD BUCKET MEASURES</t>
        </is>
      </c>
      <c r="C29" s="7" t="inlineStr">
        <is>
          <t>90-119 DPD Balance</t>
        </is>
      </c>
      <c r="D29" s="8" t="inlineStr">
        <is>
          <t>CALCULATE(
[Total Current Balance],
FactMonthlyPerformance[DelinquencyDays] &gt;= 90,
FactMonthlyPerformance[DelinquencyDays] &lt; 120
)</t>
        </is>
      </c>
      <c r="E29" s="6" t="inlineStr">
        <is>
          <t>Surveillance of portfolio 90-119 dpd balance to monitor credit risk, investor distributions, and rating thresholds.</t>
        </is>
      </c>
      <c r="F29" s="9" t="inlineStr">
        <is>
          <t>Dynamic / Scenario Dependent</t>
        </is>
      </c>
    </row>
    <row r="30">
      <c r="A30" s="10" t="n">
        <v>26</v>
      </c>
      <c r="B30" s="11" t="inlineStr">
        <is>
          <t>CATEGORY 3: DELINQUENCY &amp; DPD BUCKET MEASURES</t>
        </is>
      </c>
      <c r="C30" s="12" t="inlineStr">
        <is>
          <t>120+ DPD Balance</t>
        </is>
      </c>
      <c r="D30" s="13" t="inlineStr">
        <is>
          <t>CALCULATE(
[Total Current Balance],
FactMonthlyPerformance[DelinquencyDays] &gt;= 120
)</t>
        </is>
      </c>
      <c r="E30" s="11" t="inlineStr">
        <is>
          <t>Surveillance of portfolio 120+ dpd balance to monitor credit risk, investor distributions, and rating thresholds.</t>
        </is>
      </c>
      <c r="F30" s="14" t="inlineStr">
        <is>
          <t>Dynamic / Scenario Dependent</t>
        </is>
      </c>
    </row>
    <row r="31">
      <c r="A31" s="5" t="n">
        <v>27</v>
      </c>
      <c r="B31" s="6" t="inlineStr">
        <is>
          <t>CATEGORY 3: DELINQUENCY &amp; DPD BUCKET MEASURES</t>
        </is>
      </c>
      <c r="C31" s="7" t="inlineStr">
        <is>
          <t>Total Delinquent Balance</t>
        </is>
      </c>
      <c r="D31" s="8" t="inlineStr">
        <is>
          <t>CALCULATE(
[Total Current Balance],
FactMonthlyPerformance[DelinquencyDays] &gt;= 30
)</t>
        </is>
      </c>
      <c r="E31" s="6" t="inlineStr">
        <is>
          <t>Surveillance of portfolio total delinquent balance to monitor credit risk, investor distributions, and rating thresholds.</t>
        </is>
      </c>
      <c r="F31" s="9" t="inlineStr">
        <is>
          <t>Dynamic / Scenario Dependent</t>
        </is>
      </c>
    </row>
    <row r="32">
      <c r="A32" s="10" t="n">
        <v>28</v>
      </c>
      <c r="B32" s="11" t="inlineStr">
        <is>
          <t>CATEGORY 3: DELINQUENCY &amp; DPD BUCKET MEASURES</t>
        </is>
      </c>
      <c r="C32" s="12" t="inlineStr">
        <is>
          <t>Delinquency Rate 30+</t>
        </is>
      </c>
      <c r="D32" s="13" t="inlineStr">
        <is>
          <t>DIVIDE(
[Total Delinquent Balance],
[Total Current Balance],
0.0
)</t>
        </is>
      </c>
      <c r="E32" s="11" t="inlineStr">
        <is>
          <t>Surveillance of portfolio delinquency rate 30+ to monitor credit risk, investor distributions, and rating thresholds.</t>
        </is>
      </c>
      <c r="F32" s="14" t="inlineStr">
        <is>
          <t>14.11%</t>
        </is>
      </c>
    </row>
    <row r="33">
      <c r="A33" s="5" t="n">
        <v>29</v>
      </c>
      <c r="B33" s="6" t="inlineStr">
        <is>
          <t>CATEGORY 3: DELINQUENCY &amp; DPD BUCKET MEASURES</t>
        </is>
      </c>
      <c r="C33" s="7" t="inlineStr">
        <is>
          <t>Serious Delinquency Rate 60+</t>
        </is>
      </c>
      <c r="D33" s="8" t="inlineStr">
        <is>
          <t>DIVIDE(
CALCULATE([Total Current Balance], FactMonthlyPerformance[DelinquencyDays] &gt;= 60),
[Total Current Balance],
0.0
)</t>
        </is>
      </c>
      <c r="E33" s="6" t="inlineStr">
        <is>
          <t>Surveillance of portfolio serious delinquency rate 60+ to monitor credit risk, investor distributions, and rating thresholds.</t>
        </is>
      </c>
      <c r="F33" s="9" t="inlineStr">
        <is>
          <t>10.59%</t>
        </is>
      </c>
    </row>
    <row r="34">
      <c r="A34" s="10" t="n">
        <v>30</v>
      </c>
      <c r="B34" s="11" t="inlineStr">
        <is>
          <t>CATEGORY 3: DELINQUENCY &amp; DPD BUCKET MEASURES</t>
        </is>
      </c>
      <c r="C34" s="12" t="inlineStr">
        <is>
          <t>Critical Delinquency Rate 90+</t>
        </is>
      </c>
      <c r="D34" s="13" t="inlineStr">
        <is>
          <t>DIVIDE(
CALCULATE([Total Current Balance], FactMonthlyPerformance[DelinquencyDays] &gt;= 90),
[Total Current Balance],
0.0
)</t>
        </is>
      </c>
      <c r="E34" s="11" t="inlineStr">
        <is>
          <t>Surveillance of portfolio critical delinquency rate 90+ to monitor credit risk, investor distributions, and rating thresholds.</t>
        </is>
      </c>
      <c r="F34" s="14" t="inlineStr">
        <is>
          <t>Dynamic / Scenario Dependent</t>
        </is>
      </c>
    </row>
    <row r="35">
      <c r="A35" s="5" t="n">
        <v>31</v>
      </c>
      <c r="B35" s="6" t="inlineStr">
        <is>
          <t>CATEGORY 3: DELINQUENCY &amp; DPD BUCKET MEASURES</t>
        </is>
      </c>
      <c r="C35" s="7" t="inlineStr">
        <is>
          <t>Repossessed Vehicle Count</t>
        </is>
      </c>
      <c r="D35" s="8" t="inlineStr">
        <is>
          <t>CALCULATE(
COUNTROWS(FactMonthlyPerformance),
FactMonthlyPerformance[RepossessionFlag] = TRUE()
)</t>
        </is>
      </c>
      <c r="E35" s="6" t="inlineStr">
        <is>
          <t>Surveillance of portfolio repossessed vehicle count to monitor credit risk, investor distributions, and rating thresholds.</t>
        </is>
      </c>
      <c r="F35" s="9" t="inlineStr">
        <is>
          <t>Dynamic / Scenario Dependent</t>
        </is>
      </c>
    </row>
    <row r="36">
      <c r="A36" s="10" t="n">
        <v>32</v>
      </c>
      <c r="B36" s="11" t="inlineStr">
        <is>
          <t>CATEGORY 3: DELINQUENCY &amp; DPD BUCKET MEASURES</t>
        </is>
      </c>
      <c r="C36" s="12" t="inlineStr">
        <is>
          <t>Written Off Balance</t>
        </is>
      </c>
      <c r="D36" s="13" t="inlineStr">
        <is>
          <t>CALCULATE(
SUM(FactMonthlyPerformance[CurrentBalance]),
FactMonthlyPerformance[WriteOffFlag] = TRUE()
)</t>
        </is>
      </c>
      <c r="E36" s="11" t="inlineStr">
        <is>
          <t>Surveillance of portfolio written off balance to monitor credit risk, investor distributions, and rating thresholds.</t>
        </is>
      </c>
      <c r="F36" s="14" t="inlineStr">
        <is>
          <t>Dynamic / Scenario Dependent</t>
        </is>
      </c>
    </row>
    <row r="37">
      <c r="A37" s="5" t="n">
        <v>33</v>
      </c>
      <c r="B37" s="6" t="inlineStr">
        <is>
          <t>CATEGORY 4: ROLL RATES &amp; TRANSITION PROBABILITIES</t>
        </is>
      </c>
      <c r="C37" s="7" t="inlineStr">
        <is>
          <t>Roll Rate Current to 30</t>
        </is>
      </c>
      <c r="D37" s="8" t="inlineStr">
        <is>
          <t>VAR RolledCount =
CALCULATE(
COUNTROWS(FactMonthlyPerformance),
FactMonthlyPerformance[DPD_Bucket_Prior] = "Current",
FactMonthlyPerformance[DPD_Bucket] IN {"1-29 DPD", "30-59 DPD"}
)
VAR BaseCount =
CALCULATE(
COUNTROWS(FactMonthlyPerformance),
FactMonthlyPerformance[DPD_Bucket_Prior] = "Current"
)
RETURN DIVIDE(RolledCount, BaseCount, 0.0)</t>
        </is>
      </c>
      <c r="E37" s="6" t="inlineStr">
        <is>
          <t>Surveillance of portfolio roll rate current to 30 to monitor credit risk, investor distributions, and rating thresholds.</t>
        </is>
      </c>
      <c r="F37" s="9" t="inlineStr">
        <is>
          <t>Dynamic / Scenario Dependent</t>
        </is>
      </c>
    </row>
    <row r="38">
      <c r="A38" s="10" t="n">
        <v>34</v>
      </c>
      <c r="B38" s="11" t="inlineStr">
        <is>
          <t>CATEGORY 4: ROLL RATES &amp; TRANSITION PROBABILITIES</t>
        </is>
      </c>
      <c r="C38" s="12" t="inlineStr">
        <is>
          <t>Roll Rate 30 to 60</t>
        </is>
      </c>
      <c r="D38" s="13" t="inlineStr">
        <is>
          <t>VAR RolledCount =
CALCULATE(
COUNTROWS(FactMonthlyPerformance),
FactMonthlyPerformance[DPD_Bucket_Prior] = "30-59 DPD",
FactMonthlyPerformance[DPD_Bucket] = "60-89 DPD"
)
VAR BaseCount =
CALCULATE(
COUNTROWS(FactMonthlyPerformance),
FactMonthlyPerformance[DPD_Bucket_Prior] = "30-59 DPD"
)
RETURN DIVIDE(RolledCount, BaseCount, 0.0)</t>
        </is>
      </c>
      <c r="E38" s="11" t="inlineStr">
        <is>
          <t>Surveillance of portfolio roll rate 30 to 60 to monitor credit risk, investor distributions, and rating thresholds.</t>
        </is>
      </c>
      <c r="F38" s="14" t="inlineStr">
        <is>
          <t>Dynamic / Scenario Dependent</t>
        </is>
      </c>
    </row>
    <row r="39">
      <c r="A39" s="5" t="n">
        <v>35</v>
      </c>
      <c r="B39" s="6" t="inlineStr">
        <is>
          <t>CATEGORY 4: ROLL RATES &amp; TRANSITION PROBABILITIES</t>
        </is>
      </c>
      <c r="C39" s="7" t="inlineStr">
        <is>
          <t>Roll Rate 60 to 90</t>
        </is>
      </c>
      <c r="D39" s="8" t="inlineStr">
        <is>
          <t>VAR RolledCount =
CALCULATE(
COUNTROWS(FactMonthlyPerformance),
FactMonthlyPerformance[DPD_Bucket_Prior] = "60-89 DPD",
FactMonthlyPerformance[DPD_Bucket] IN {"90-119 DPD", "120+ DPD", "Default"}
)
VAR BaseCount =
CALCULATE(
COUNTROWS(FactMonthlyPerformance),
FactMonthlyPerformance[DPD_Bucket_Prior] = "60-89 DPD"
)
RETURN DIVIDE(RolledCount, BaseCount, 0.0)</t>
        </is>
      </c>
      <c r="E39" s="6" t="inlineStr">
        <is>
          <t>Surveillance of portfolio roll rate 60 to 90 to monitor credit risk, investor distributions, and rating thresholds.</t>
        </is>
      </c>
      <c r="F39" s="9" t="inlineStr">
        <is>
          <t>Dynamic / Scenario Dependent</t>
        </is>
      </c>
    </row>
    <row r="40">
      <c r="A40" s="10" t="n">
        <v>36</v>
      </c>
      <c r="B40" s="11" t="inlineStr">
        <is>
          <t>CATEGORY 4: ROLL RATES &amp; TRANSITION PROBABILITIES</t>
        </is>
      </c>
      <c r="C40" s="12" t="inlineStr">
        <is>
          <t>Cure Rate 30 to Current</t>
        </is>
      </c>
      <c r="D40" s="13" t="inlineStr">
        <is>
          <t>VAR CuredCount =
CALCULATE(
COUNTROWS(FactMonthlyPerformance),
FactMonthlyPerformance[DPD_Bucket_Prior] = "30-59 DPD",
FactMonthlyPerformance[DPD_Bucket] = "Current"
)
VAR BaseCount =
CALCULATE(
COUNTROWS(FactMonthlyPerformance),
FactMonthlyPerformance[DPD_Bucket_Prior] = "30-59 DPD"
)
RETURN DIVIDE(CuredCount, BaseCount, 0.0)</t>
        </is>
      </c>
      <c r="E40" s="11" t="inlineStr">
        <is>
          <t>Surveillance of portfolio cure rate 30 to current to monitor credit risk, investor distributions, and rating thresholds.</t>
        </is>
      </c>
      <c r="F40" s="14" t="inlineStr">
        <is>
          <t>Dynamic / Scenario Dependent</t>
        </is>
      </c>
    </row>
    <row r="41">
      <c r="A41" s="5" t="n">
        <v>37</v>
      </c>
      <c r="B41" s="6" t="inlineStr">
        <is>
          <t>CATEGORY 4: ROLL RATES &amp; TRANSITION PROBABILITIES</t>
        </is>
      </c>
      <c r="C41" s="7" t="inlineStr">
        <is>
          <t>Cure Rate 60 to Current</t>
        </is>
      </c>
      <c r="D41" s="8" t="inlineStr">
        <is>
          <t>VAR CuredCount =
CALCULATE(
COUNTROWS(FactMonthlyPerformance),
FactMonthlyPerformance[DPD_Bucket_Prior] = "60-89 DPD",
FactMonthlyPerformance[DPD_Bucket] = "Current"
)
VAR BaseCount =
CALCULATE(
COUNTROWS(FactMonthlyPerformance),
FactMonthlyPerformance[DPD_Bucket_Prior] = "60-89 DPD"
)
RETURN DIVIDE(CuredCount, BaseCount, 0.0)</t>
        </is>
      </c>
      <c r="E41" s="6" t="inlineStr">
        <is>
          <t>Surveillance of portfolio cure rate 60 to current to monitor credit risk, investor distributions, and rating thresholds.</t>
        </is>
      </c>
      <c r="F41" s="9" t="inlineStr">
        <is>
          <t>Dynamic / Scenario Dependent</t>
        </is>
      </c>
    </row>
    <row r="42">
      <c r="A42" s="10" t="n">
        <v>38</v>
      </c>
      <c r="B42" s="11" t="inlineStr">
        <is>
          <t>CATEGORY 4: ROLL RATES &amp; TRANSITION PROBABILITIES</t>
        </is>
      </c>
      <c r="C42" s="12" t="inlineStr">
        <is>
          <t>Balance Rolled 30 to 60</t>
        </is>
      </c>
      <c r="D42" s="13" t="inlineStr">
        <is>
          <t>CALCULATE(
SUM(FactMonthlyPerformance[CurrentBalance]),
FactMonthlyPerformance[DPD_Bucket_Prior] = "30-59 DPD",
FactMonthlyPerformance[DPD_Bucket] = "60-89 DPD"
)</t>
        </is>
      </c>
      <c r="E42" s="11" t="inlineStr">
        <is>
          <t>Surveillance of portfolio balance rolled 30 to 60 to monitor credit risk, investor distributions, and rating thresholds.</t>
        </is>
      </c>
      <c r="F42" s="14" t="inlineStr">
        <is>
          <t>Dynamic / Scenario Dependent</t>
        </is>
      </c>
    </row>
    <row r="43">
      <c r="A43" s="5" t="n">
        <v>39</v>
      </c>
      <c r="B43" s="6" t="inlineStr">
        <is>
          <t>CATEGORY 4: ROLL RATES &amp; TRANSITION PROBABILITIES</t>
        </is>
      </c>
      <c r="C43" s="7" t="inlineStr">
        <is>
          <t>Total Cured Balance</t>
        </is>
      </c>
      <c r="D43" s="8" t="inlineStr">
        <is>
          <t>CALCULATE(
SUM(FactMonthlyPerformance[CurrentBalance]),
FactMonthlyPerformance[CureFlag] = TRUE()
)</t>
        </is>
      </c>
      <c r="E43" s="6" t="inlineStr">
        <is>
          <t>Surveillance of portfolio total cured balance to monitor credit risk, investor distributions, and rating thresholds.</t>
        </is>
      </c>
      <c r="F43" s="9" t="inlineStr">
        <is>
          <t>Dynamic / Scenario Dependent</t>
        </is>
      </c>
    </row>
    <row r="44">
      <c r="A44" s="10" t="n">
        <v>40</v>
      </c>
      <c r="B44" s="11" t="inlineStr">
        <is>
          <t>CATEGORY 4: ROLL RATES &amp; TRANSITION PROBABILITIES</t>
        </is>
      </c>
      <c r="C44" s="12" t="inlineStr">
        <is>
          <t>Net Deterioration Rate</t>
        </is>
      </c>
      <c r="D44" s="13" t="inlineStr">
        <is>
          <t>[Roll Rate 30 to 60] - [Cure Rate 30 to Current]</t>
        </is>
      </c>
      <c r="E44" s="11" t="inlineStr">
        <is>
          <t>Surveillance of portfolio net deterioration rate to monitor credit risk, investor distributions, and rating thresholds.</t>
        </is>
      </c>
      <c r="F44" s="14" t="inlineStr">
        <is>
          <t>Dynamic / Scenario Dependent</t>
        </is>
      </c>
    </row>
    <row r="45">
      <c r="A45" s="5" t="n">
        <v>41</v>
      </c>
      <c r="B45" s="6" t="inlineStr">
        <is>
          <t>CATEGORY 4: ROLL RATES &amp; TRANSITION PROBABILITIES</t>
        </is>
      </c>
      <c r="C45" s="7" t="inlineStr">
        <is>
          <t>Avg Months Delinquent 60-89</t>
        </is>
      </c>
      <c r="D45" s="8" t="inlineStr">
        <is>
          <t>CALCULATE(
AVERAGE(FactMonthlyPerformance[ConsecutiveMonthsDelinquent]),
FactMonthlyPerformance[DPD_Bucket] = "60-89 DPD"
)</t>
        </is>
      </c>
      <c r="E45" s="6" t="inlineStr">
        <is>
          <t>Surveillance of portfolio avg months delinquent 60-89 to monitor credit risk, investor distributions, and rating thresholds.</t>
        </is>
      </c>
      <c r="F45" s="9" t="inlineStr">
        <is>
          <t>Dynamic / Scenario Dependent</t>
        </is>
      </c>
    </row>
    <row r="46">
      <c r="A46" s="10" t="n">
        <v>42</v>
      </c>
      <c r="B46" s="11" t="inlineStr">
        <is>
          <t>CATEGORY 4: ROLL RATES &amp; TRANSITION PROBABILITIES</t>
        </is>
      </c>
      <c r="C46" s="12" t="inlineStr">
        <is>
          <t>Roll Rate Acceleration Index</t>
        </is>
      </c>
      <c r="D46" s="13" t="inlineStr">
        <is>
          <t>VAR CurrentM = [Roll Rate 30 to 60]
VAR PriorM = CALCULATE([Roll Rate 30 to 60], PREVIOUSMONTH(DimDate[DateKey]))
RETURN DIVIDE(CurrentM - PriorM, PriorM, 0.0)</t>
        </is>
      </c>
      <c r="E46" s="11" t="inlineStr">
        <is>
          <t>Surveillance of portfolio roll rate acceleration index to monitor credit risk, investor distributions, and rating thresholds.</t>
        </is>
      </c>
      <c r="F46" s="14" t="inlineStr">
        <is>
          <t>Dynamic / Scenario Dependent</t>
        </is>
      </c>
    </row>
    <row r="47">
      <c r="A47" s="5" t="n">
        <v>43</v>
      </c>
      <c r="B47" s="6" t="inlineStr">
        <is>
          <t>CATEGORY 5: TIME INTELLIGENCE &amp; TREND ALERTS</t>
        </is>
      </c>
      <c r="C47" s="7" t="inlineStr">
        <is>
          <t>Delinquency Rate 3M Moving Avg</t>
        </is>
      </c>
      <c r="D47" s="8" t="inlineStr">
        <is>
          <t>AVERAGEX(
DATESINPERIOD(DimDate[DateKey], MAX(DimDate[DateKey]), -3, MONTH),
[Delinquency Rate 30+]
)</t>
        </is>
      </c>
      <c r="E47" s="6" t="inlineStr">
        <is>
          <t>Surveillance of portfolio delinquency rate 3m moving avg to monitor credit risk, investor distributions, and rating thresholds.</t>
        </is>
      </c>
      <c r="F47" s="9" t="inlineStr">
        <is>
          <t>Dynamic / Scenario Dependent</t>
        </is>
      </c>
    </row>
    <row r="48">
      <c r="A48" s="10" t="n">
        <v>44</v>
      </c>
      <c r="B48" s="11" t="inlineStr">
        <is>
          <t>CATEGORY 5: TIME INTELLIGENCE &amp; TREND ALERTS</t>
        </is>
      </c>
      <c r="C48" s="12" t="inlineStr">
        <is>
          <t>Delinquency Rate 12M Moving Avg</t>
        </is>
      </c>
      <c r="D48" s="13" t="inlineStr">
        <is>
          <t>AVERAGEX(
DATESINPERIOD(DimDate[DateKey], MAX(DimDate[DateKey]), -12, MONTH),
[Delinquency Rate 30+]
)</t>
        </is>
      </c>
      <c r="E48" s="11" t="inlineStr">
        <is>
          <t>Surveillance of portfolio delinquency rate 12m moving avg to monitor credit risk, investor distributions, and rating thresholds.</t>
        </is>
      </c>
      <c r="F48" s="14" t="inlineStr">
        <is>
          <t>Dynamic / Scenario Dependent</t>
        </is>
      </c>
    </row>
    <row r="49">
      <c r="A49" s="5" t="n">
        <v>45</v>
      </c>
      <c r="B49" s="6" t="inlineStr">
        <is>
          <t>CATEGORY 5: TIME INTELLIGENCE &amp; TREND ALERTS</t>
        </is>
      </c>
      <c r="C49" s="7" t="inlineStr">
        <is>
          <t>Delinquency Rate 12M StdDev</t>
        </is>
      </c>
      <c r="D49" s="8" t="inlineStr">
        <is>
          <t>STDEVX.P(
DATESINPERIOD(DimDate[DateKey], MAX(DimDate[DateKey]), -12, MONTH),
[Delinquency Rate 30+]
)</t>
        </is>
      </c>
      <c r="E49" s="6" t="inlineStr">
        <is>
          <t>Surveillance of portfolio delinquency rate 12m stddev to monitor credit risk, investor distributions, and rating thresholds.</t>
        </is>
      </c>
      <c r="F49" s="9" t="inlineStr">
        <is>
          <t>Dynamic / Scenario Dependent</t>
        </is>
      </c>
    </row>
    <row r="50">
      <c r="A50" s="10" t="n">
        <v>46</v>
      </c>
      <c r="B50" s="11" t="inlineStr">
        <is>
          <t>CATEGORY 5: TIME INTELLIGENCE &amp; TREND ALERTS</t>
        </is>
      </c>
      <c r="C50" s="12" t="inlineStr">
        <is>
          <t>Delinquency Alert 2Sigma Flag</t>
        </is>
      </c>
      <c r="D50" s="13" t="inlineStr">
        <is>
          <t>VAR CurrentRate = [Delinquency Rate 30+]
VAR Mean12M = [Delinquency Rate 12M Moving Avg]
VAR Std12M = [Delinquency Rate 12M StdDev]
RETURN
IF(CurrentRate &gt; Mean12M + (2 * Std12M), 1, 0)</t>
        </is>
      </c>
      <c r="E50" s="11" t="inlineStr">
        <is>
          <t>Surveillance of portfolio delinquency alert 2sigma flag to monitor credit risk, investor distributions, and rating thresholds.</t>
        </is>
      </c>
      <c r="F50" s="14" t="inlineStr">
        <is>
          <t>Dynamic / Scenario Dependent</t>
        </is>
      </c>
    </row>
    <row r="51">
      <c r="A51" s="5" t="n">
        <v>47</v>
      </c>
      <c r="B51" s="6" t="inlineStr">
        <is>
          <t>CATEGORY 5: TIME INTELLIGENCE &amp; TREND ALERTS</t>
        </is>
      </c>
      <c r="C51" s="7" t="inlineStr">
        <is>
          <t>MoM Balance Growth %</t>
        </is>
      </c>
      <c r="D51" s="8" t="inlineStr">
        <is>
          <t>VAR PriorBal = CALCULATE([Total Current Balance], PREVIOUSMONTH(DimDate[DateKey]))
RETURN DIVIDE([Total Current Balance] - PriorBal, PriorBal, 0.0)</t>
        </is>
      </c>
      <c r="E51" s="6" t="inlineStr">
        <is>
          <t>Surveillance of portfolio mom balance growth % to monitor credit risk, investor distributions, and rating thresholds.</t>
        </is>
      </c>
      <c r="F51" s="9" t="inlineStr">
        <is>
          <t>Dynamic / Scenario Dependent</t>
        </is>
      </c>
    </row>
    <row r="52">
      <c r="A52" s="10" t="n">
        <v>48</v>
      </c>
      <c r="B52" s="11" t="inlineStr">
        <is>
          <t>CATEGORY 5: TIME INTELLIGENCE &amp; TREND ALERTS</t>
        </is>
      </c>
      <c r="C52" s="12" t="inlineStr">
        <is>
          <t>YTD Net Loss</t>
        </is>
      </c>
      <c r="D52" s="13" t="inlineStr">
        <is>
          <t>TOTALYTD(SUM(FactDynamicLoss[NetLoss_ThisMonth]), DimDate[DateKey])</t>
        </is>
      </c>
      <c r="E52" s="11" t="inlineStr">
        <is>
          <t>Surveillance of portfolio ytd net loss to monitor credit risk, investor distributions, and rating thresholds.</t>
        </is>
      </c>
      <c r="F52" s="14" t="inlineStr">
        <is>
          <t>Dynamic / Scenario Dependent</t>
        </is>
      </c>
    </row>
    <row r="53">
      <c r="A53" s="5" t="n">
        <v>49</v>
      </c>
      <c r="B53" s="6" t="inlineStr">
        <is>
          <t>CATEGORY 5: TIME INTELLIGENCE &amp; TREND ALERTS</t>
        </is>
      </c>
      <c r="C53" s="7" t="inlineStr">
        <is>
          <t>QTD Collections</t>
        </is>
      </c>
      <c r="D53" s="8" t="inlineStr">
        <is>
          <t>TOTALQTD(SUM(FactDynamicLoss[CollectionsTotal]), DimDate[DateKey])</t>
        </is>
      </c>
      <c r="E53" s="6" t="inlineStr">
        <is>
          <t>Surveillance of portfolio qtd collections to monitor credit risk, investor distributions, and rating thresholds.</t>
        </is>
      </c>
      <c r="F53" s="9" t="inlineStr">
        <is>
          <t>Dynamic / Scenario Dependent</t>
        </is>
      </c>
    </row>
    <row r="54">
      <c r="A54" s="10" t="n">
        <v>50</v>
      </c>
      <c r="B54" s="11" t="inlineStr">
        <is>
          <t>CATEGORY 5: TIME INTELLIGENCE &amp; TREND ALERTS</t>
        </is>
      </c>
      <c r="C54" s="12" t="inlineStr">
        <is>
          <t>MoM 60+ DPD Delta %</t>
        </is>
      </c>
      <c r="D54" s="13" t="inlineStr">
        <is>
          <t>VAR Prior60 = CALCULATE([Serious Delinquency Rate 60+], PREVIOUSMONTH(DimDate[DateKey]))
RETURN [Serious Delinquency Rate 60+] - Prior60</t>
        </is>
      </c>
      <c r="E54" s="11" t="inlineStr">
        <is>
          <t>Surveillance of portfolio mom 60+ dpd delta % to monitor credit risk, investor distributions, and rating thresholds.</t>
        </is>
      </c>
      <c r="F54" s="14" t="inlineStr">
        <is>
          <t>Dynamic / Scenario Dependent</t>
        </is>
      </c>
    </row>
    <row r="55">
      <c r="A55" s="5" t="n">
        <v>51</v>
      </c>
      <c r="B55" s="6" t="inlineStr">
        <is>
          <t>CATEGORY 5: TIME INTELLIGENCE &amp; TREND ALERTS</t>
        </is>
      </c>
      <c r="C55" s="7" t="inlineStr">
        <is>
          <t>CPR 3M Moving Avg</t>
        </is>
      </c>
      <c r="D55" s="8" t="inlineStr">
        <is>
          <t>AVERAGEX(
DATESINPERIOD(DimDate[DateKey], MAX(DimDate[DateKey]), -3, MONTH),
AVERAGE(FactDynamicLoss[CPR_Annualised])
)</t>
        </is>
      </c>
      <c r="E55" s="6" t="inlineStr">
        <is>
          <t>Surveillance of portfolio cpr 3m moving avg to monitor credit risk, investor distributions, and rating thresholds.</t>
        </is>
      </c>
      <c r="F55" s="9" t="inlineStr">
        <is>
          <t>Dynamic / Scenario Dependent</t>
        </is>
      </c>
    </row>
    <row r="56">
      <c r="A56" s="10" t="n">
        <v>52</v>
      </c>
      <c r="B56" s="11" t="inlineStr">
        <is>
          <t>CATEGORY 5: TIME INTELLIGENCE &amp; TREND ALERTS</t>
        </is>
      </c>
      <c r="C56" s="12" t="inlineStr">
        <is>
          <t>Collection Efficiency 12M Avg</t>
        </is>
      </c>
      <c r="D56" s="13" t="inlineStr">
        <is>
          <t>AVERAGEX(
DATESINPERIOD(DimDate[DateKey], MAX(DimDate[DateKey]), -12, MONTH),
AVERAGE(FactDynamicLoss[CollectionEfficiency])
)</t>
        </is>
      </c>
      <c r="E56" s="11" t="inlineStr">
        <is>
          <t>Surveillance of portfolio collection efficiency 12m avg to monitor credit risk, investor distributions, and rating thresholds.</t>
        </is>
      </c>
      <c r="F56" s="14" t="inlineStr">
        <is>
          <t>Dynamic / Scenario Dependent</t>
        </is>
      </c>
    </row>
    <row r="57">
      <c r="A57" s="5" t="n">
        <v>53</v>
      </c>
      <c r="B57" s="6" t="inlineStr">
        <is>
          <t>CATEGORY 6: CASH FLOW WATERFALL &amp; TRANCHE ALLOCATION</t>
        </is>
      </c>
      <c r="C57" s="7" t="inlineStr">
        <is>
          <t>Class A Senior Target Balance</t>
        </is>
      </c>
      <c r="D57" s="8" t="inlineStr">
        <is>
          <t>[Total Current Balance] * 0.85</t>
        </is>
      </c>
      <c r="E57" s="6" t="inlineStr">
        <is>
          <t>Surveillance of portfolio class a senior target balance to monitor credit risk, investor distributions, and rating thresholds.</t>
        </is>
      </c>
      <c r="F57" s="9" t="inlineStr">
        <is>
          <t>Dynamic / Scenario Dependent</t>
        </is>
      </c>
    </row>
    <row r="58">
      <c r="A58" s="10" t="n">
        <v>54</v>
      </c>
      <c r="B58" s="11" t="inlineStr">
        <is>
          <t>CATEGORY 6: CASH FLOW WATERFALL &amp; TRANCHE ALLOCATION</t>
        </is>
      </c>
      <c r="C58" s="12" t="inlineStr">
        <is>
          <t>Class B Mezzanine Target Balance</t>
        </is>
      </c>
      <c r="D58" s="13" t="inlineStr">
        <is>
          <t>[Total Current Balance] * 0.10</t>
        </is>
      </c>
      <c r="E58" s="11" t="inlineStr">
        <is>
          <t>Surveillance of portfolio class b mezzanine target balance to monitor credit risk, investor distributions, and rating thresholds.</t>
        </is>
      </c>
      <c r="F58" s="14" t="inlineStr">
        <is>
          <t>Dynamic / Scenario Dependent</t>
        </is>
      </c>
    </row>
    <row r="59">
      <c r="A59" s="5" t="n">
        <v>55</v>
      </c>
      <c r="B59" s="6" t="inlineStr">
        <is>
          <t>CATEGORY 6: CASH FLOW WATERFALL &amp; TRANCHE ALLOCATION</t>
        </is>
      </c>
      <c r="C59" s="7" t="inlineStr">
        <is>
          <t>Class C Equity Target Balance</t>
        </is>
      </c>
      <c r="D59" s="8" t="inlineStr">
        <is>
          <t>[Total Current Balance] * 0.05</t>
        </is>
      </c>
      <c r="E59" s="6" t="inlineStr">
        <is>
          <t>Surveillance of portfolio class c equity target balance to monitor credit risk, investor distributions, and rating thresholds.</t>
        </is>
      </c>
      <c r="F59" s="9" t="inlineStr">
        <is>
          <t>Dynamic / Scenario Dependent</t>
        </is>
      </c>
    </row>
    <row r="60">
      <c r="A60" s="10" t="n">
        <v>56</v>
      </c>
      <c r="B60" s="11" t="inlineStr">
        <is>
          <t>CATEGORY 6: CASH FLOW WATERFALL &amp; TRANCHE ALLOCATION</t>
        </is>
      </c>
      <c r="C60" s="12" t="inlineStr">
        <is>
          <t>Monthly Servicer Fee</t>
        </is>
      </c>
      <c r="D60" s="13" t="inlineStr">
        <is>
          <t>[Total Current Balance] * (0.005 / 12)</t>
        </is>
      </c>
      <c r="E60" s="11" t="inlineStr">
        <is>
          <t>Surveillance of portfolio monthly servicer fee to monitor credit risk, investor distributions, and rating thresholds.</t>
        </is>
      </c>
      <c r="F60" s="14" t="inlineStr">
        <is>
          <t>Dynamic / Scenario Dependent</t>
        </is>
      </c>
    </row>
    <row r="61">
      <c r="A61" s="5" t="n">
        <v>57</v>
      </c>
      <c r="B61" s="6" t="inlineStr">
        <is>
          <t>CATEGORY 6: CASH FLOW WATERFALL &amp; TRANCHE ALLOCATION</t>
        </is>
      </c>
      <c r="C61" s="7" t="inlineStr">
        <is>
          <t>Monthly Trustee Fee</t>
        </is>
      </c>
      <c r="D61" s="8" t="inlineStr">
        <is>
          <t>[Total Current Balance] * (0.001 / 12)</t>
        </is>
      </c>
      <c r="E61" s="6" t="inlineStr">
        <is>
          <t>Surveillance of portfolio monthly trustee fee to monitor credit risk, investor distributions, and rating thresholds.</t>
        </is>
      </c>
      <c r="F61" s="9" t="inlineStr">
        <is>
          <t>Dynamic / Scenario Dependent</t>
        </is>
      </c>
    </row>
    <row r="62">
      <c r="A62" s="10" t="n">
        <v>58</v>
      </c>
      <c r="B62" s="11" t="inlineStr">
        <is>
          <t>CATEGORY 6: CASH FLOW WATERFALL &amp; TRANCHE ALLOCATION</t>
        </is>
      </c>
      <c r="C62" s="12" t="inlineStr">
        <is>
          <t>Class A Senior Interest Due</t>
        </is>
      </c>
      <c r="D62" s="13" t="inlineStr">
        <is>
          <t>[Class A Senior Target Balance] * (0.085 / 12)</t>
        </is>
      </c>
      <c r="E62" s="11" t="inlineStr">
        <is>
          <t>Surveillance of portfolio class a senior interest due to monitor credit risk, investor distributions, and rating thresholds.</t>
        </is>
      </c>
      <c r="F62" s="14" t="inlineStr">
        <is>
          <t>Dynamic / Scenario Dependent</t>
        </is>
      </c>
    </row>
    <row r="63">
      <c r="A63" s="5" t="n">
        <v>59</v>
      </c>
      <c r="B63" s="6" t="inlineStr">
        <is>
          <t>CATEGORY 6: CASH FLOW WATERFALL &amp; TRANCHE ALLOCATION</t>
        </is>
      </c>
      <c r="C63" s="7" t="inlineStr">
        <is>
          <t>Class B Mezzanine Interest Due</t>
        </is>
      </c>
      <c r="D63" s="8" t="inlineStr">
        <is>
          <t>[Class B Mezzanine Target Balance] * (0.105 / 12)</t>
        </is>
      </c>
      <c r="E63" s="6" t="inlineStr">
        <is>
          <t>Surveillance of portfolio class b mezzanine interest due to monitor credit risk, investor distributions, and rating thresholds.</t>
        </is>
      </c>
      <c r="F63" s="9" t="inlineStr">
        <is>
          <t>Dynamic / Scenario Dependent</t>
        </is>
      </c>
    </row>
    <row r="64">
      <c r="A64" s="10" t="n">
        <v>60</v>
      </c>
      <c r="B64" s="11" t="inlineStr">
        <is>
          <t>CATEGORY 6: CASH FLOW WATERFALL &amp; TRANCHE ALLOCATION</t>
        </is>
      </c>
      <c r="C64" s="12" t="inlineStr">
        <is>
          <t>Available Cash Flow for Tranches</t>
        </is>
      </c>
      <c r="D64" s="13" t="inlineStr">
        <is>
          <t>MAX(0, [Total Actual Payment Received] - [Monthly Servicer Fee] - [Monthly Trustee Fee])</t>
        </is>
      </c>
      <c r="E64" s="11" t="inlineStr">
        <is>
          <t>Surveillance of portfolio available cash flow for tranches to monitor credit risk, investor distributions, and rating thresholds.</t>
        </is>
      </c>
      <c r="F64" s="14" t="inlineStr">
        <is>
          <t>Dynamic / Scenario Dependent</t>
        </is>
      </c>
    </row>
    <row r="65">
      <c r="A65" s="5" t="n">
        <v>61</v>
      </c>
      <c r="B65" s="6" t="inlineStr">
        <is>
          <t>CATEGORY 6: CASH FLOW WATERFALL &amp; TRANCHE ALLOCATION</t>
        </is>
      </c>
      <c r="C65" s="7" t="inlineStr">
        <is>
          <t>Class C Equity Residual Flow</t>
        </is>
      </c>
      <c r="D65" s="8" t="inlineStr">
        <is>
          <t>VAR CashAfterFeesAndInterest =
MAX(0, [Available Cash Flow for Tranches] - [Class A Senior Interest Due] - [Class B Mezzanine Interest Due])
RETURN
IF([Cumulative Loss Trigger Breach Flag] = 1, 0, CashAfterFeesAndInterest)</t>
        </is>
      </c>
      <c r="E65" s="6" t="inlineStr">
        <is>
          <t>Surveillance of portfolio class c equity residual flow to monitor credit risk, investor distributions, and rating thresholds.</t>
        </is>
      </c>
      <c r="F65" s="9" t="inlineStr">
        <is>
          <t>Dynamic / Scenario Dependent</t>
        </is>
      </c>
    </row>
    <row r="66">
      <c r="A66" s="10" t="n">
        <v>62</v>
      </c>
      <c r="B66" s="11" t="inlineStr">
        <is>
          <t>CATEGORY 6: CASH FLOW WATERFALL &amp; TRANCHE ALLOCATION</t>
        </is>
      </c>
      <c r="C66" s="12" t="inlineStr">
        <is>
          <t>Waterfall Trapped Cash</t>
        </is>
      </c>
      <c r="D66" s="13" t="inlineStr">
        <is>
          <t>IF([Cumulative Loss Trigger Breach Flag] = 1,
MAX(0, [Available Cash Flow for Tranches] - [Class A Senior Interest Due] - [Class B Mezzanine Interest Due]),
0)</t>
        </is>
      </c>
      <c r="E66" s="11" t="inlineStr">
        <is>
          <t>Surveillance of portfolio waterfall trapped cash to monitor credit risk, investor distributions, and rating thresholds.</t>
        </is>
      </c>
      <c r="F66" s="14" t="inlineStr">
        <is>
          <t>Dynamic / Scenario Dependent</t>
        </is>
      </c>
    </row>
    <row r="67">
      <c r="A67" s="5" t="n">
        <v>63</v>
      </c>
      <c r="B67" s="6" t="inlineStr">
        <is>
          <t>CATEGORY 7: CREDIT ENHANCEMENT &amp; TRIGGER SURVEILLANCE</t>
        </is>
      </c>
      <c r="C67" s="7" t="inlineStr">
        <is>
          <t>Overcollateralisation Amount</t>
        </is>
      </c>
      <c r="D67" s="8" t="inlineStr">
        <is>
          <t>[Total Current Balance] * 0.03</t>
        </is>
      </c>
      <c r="E67" s="6" t="inlineStr">
        <is>
          <t>Surveillance of portfolio overcollateralisation amount to monitor credit risk, investor distributions, and rating thresholds.</t>
        </is>
      </c>
      <c r="F67" s="9" t="inlineStr">
        <is>
          <t>Dynamic / Scenario Dependent</t>
        </is>
      </c>
    </row>
    <row r="68">
      <c r="A68" s="10" t="n">
        <v>64</v>
      </c>
      <c r="B68" s="11" t="inlineStr">
        <is>
          <t>CATEGORY 7: CREDIT ENHANCEMENT &amp; TRIGGER SURVEILLANCE</t>
        </is>
      </c>
      <c r="C68" s="12" t="inlineStr">
        <is>
          <t>Reserve Account Balance Target</t>
        </is>
      </c>
      <c r="D68" s="13" t="inlineStr">
        <is>
          <t>[Total Current Balance] * 0.02</t>
        </is>
      </c>
      <c r="E68" s="11" t="inlineStr">
        <is>
          <t>Surveillance of portfolio reserve account balance target to monitor credit risk, investor distributions, and rating thresholds.</t>
        </is>
      </c>
      <c r="F68" s="14" t="inlineStr">
        <is>
          <t>Dynamic / Scenario Dependent</t>
        </is>
      </c>
    </row>
    <row r="69">
      <c r="A69" s="5" t="n">
        <v>65</v>
      </c>
      <c r="B69" s="6" t="inlineStr">
        <is>
          <t>CATEGORY 7: CREDIT ENHANCEMENT &amp; TRIGGER SURVEILLANCE</t>
        </is>
      </c>
      <c r="C69" s="7" t="inlineStr">
        <is>
          <t>Class A Credit Enhancement Amount</t>
        </is>
      </c>
      <c r="D69" s="8" t="inlineStr">
        <is>
          <t>[Class B Mezzanine Target Balance] +
[Class C Equity Target Balance] +
[Overcollateralisation Amount] +
[Reserve Account Balance Target]</t>
        </is>
      </c>
      <c r="E69" s="6" t="inlineStr">
        <is>
          <t>Surveillance of portfolio class a credit enhancement amount to monitor credit risk, investor distributions, and rating thresholds.</t>
        </is>
      </c>
      <c r="F69" s="9" t="inlineStr">
        <is>
          <t>20.00%</t>
        </is>
      </c>
    </row>
    <row r="70">
      <c r="A70" s="10" t="n">
        <v>66</v>
      </c>
      <c r="B70" s="11" t="inlineStr">
        <is>
          <t>CATEGORY 7: CREDIT ENHANCEMENT &amp; TRIGGER SURVEILLANCE</t>
        </is>
      </c>
      <c r="C70" s="12" t="inlineStr">
        <is>
          <t>Class A Credit Enhancement %</t>
        </is>
      </c>
      <c r="D70" s="13" t="inlineStr">
        <is>
          <t>DIVIDE(
[Class A Credit Enhancement Amount],
[Total Current Balance],
0.0
) * 100</t>
        </is>
      </c>
      <c r="E70" s="11" t="inlineStr">
        <is>
          <t>Surveillance of portfolio class a credit enhancement % to monitor credit risk, investor distributions, and rating thresholds.</t>
        </is>
      </c>
      <c r="F70" s="14" t="inlineStr">
        <is>
          <t>20.00%</t>
        </is>
      </c>
    </row>
    <row r="71">
      <c r="A71" s="5" t="n">
        <v>67</v>
      </c>
      <c r="B71" s="6" t="inlineStr">
        <is>
          <t>CATEGORY 7: CREDIT ENHANCEMENT &amp; TRIGGER SURVEILLANCE</t>
        </is>
      </c>
      <c r="C71" s="7" t="inlineStr">
        <is>
          <t>Class B Credit Enhancement %</t>
        </is>
      </c>
      <c r="D71" s="8" t="inlineStr">
        <is>
          <t>DIVIDE(
[Class C Equity Target Balance] + [Overcollateralisation Amount] + [Reserve Account Balance Target],
[Total Current Balance],
0.0
) * 100</t>
        </is>
      </c>
      <c r="E71" s="6" t="inlineStr">
        <is>
          <t>Surveillance of portfolio class b credit enhancement % to monitor credit risk, investor distributions, and rating thresholds.</t>
        </is>
      </c>
      <c r="F71" s="9" t="inlineStr">
        <is>
          <t>Dynamic / Scenario Dependent</t>
        </is>
      </c>
    </row>
    <row r="72">
      <c r="A72" s="10" t="n">
        <v>68</v>
      </c>
      <c r="B72" s="11" t="inlineStr">
        <is>
          <t>CATEGORY 7: CREDIT ENHANCEMENT &amp; TRIGGER SURVEILLANCE</t>
        </is>
      </c>
      <c r="C72" s="12" t="inlineStr">
        <is>
          <t>Cumulative Net Loss Rate %</t>
        </is>
      </c>
      <c r="D72" s="13" t="inlineStr">
        <is>
          <t>DIVIDE(
SUM(FactDynamicLoss[NetLoss_ThisMonth]),
[Total Original Balance],
0.0
) * 100</t>
        </is>
      </c>
      <c r="E72" s="11" t="inlineStr">
        <is>
          <t>Surveillance of portfolio cumulative net loss rate % to monitor credit risk, investor distributions, and rating thresholds.</t>
        </is>
      </c>
      <c r="F72" s="14" t="inlineStr">
        <is>
          <t>Dynamic / Scenario Dependent</t>
        </is>
      </c>
    </row>
    <row r="73">
      <c r="A73" s="5" t="n">
        <v>69</v>
      </c>
      <c r="B73" s="6" t="inlineStr">
        <is>
          <t>CATEGORY 7: CREDIT ENHANCEMENT &amp; TRIGGER SURVEILLANCE</t>
        </is>
      </c>
      <c r="C73" s="7" t="inlineStr">
        <is>
          <t>Cumulative Loss Trigger Breach Flag</t>
        </is>
      </c>
      <c r="D73" s="8" t="inlineStr">
        <is>
          <t>IF([Cumulative Net Loss Rate %] &gt; 3.0, 1, 0)</t>
        </is>
      </c>
      <c r="E73" s="6" t="inlineStr">
        <is>
          <t>Surveillance of portfolio cumulative loss trigger breach flag to monitor credit risk, investor distributions, and rating thresholds.</t>
        </is>
      </c>
      <c r="F73" s="9" t="inlineStr">
        <is>
          <t>Dynamic / Scenario Dependent</t>
        </is>
      </c>
    </row>
    <row r="74">
      <c r="A74" s="10" t="n">
        <v>70</v>
      </c>
      <c r="B74" s="11" t="inlineStr">
        <is>
          <t>CATEGORY 7: CREDIT ENHANCEMENT &amp; TRIGGER SURVEILLANCE</t>
        </is>
      </c>
      <c r="C74" s="12" t="inlineStr">
        <is>
          <t>Delinquency Trigger Breach Flag</t>
        </is>
      </c>
      <c r="D74" s="13" t="inlineStr">
        <is>
          <t>IF([Serious Delinquency Rate 60+] &gt; 0.05, 1, 0)</t>
        </is>
      </c>
      <c r="E74" s="11" t="inlineStr">
        <is>
          <t>Surveillance of portfolio delinquency trigger breach flag to monitor credit risk, investor distributions, and rating thresholds.</t>
        </is>
      </c>
      <c r="F74" s="14" t="inlineStr">
        <is>
          <t>Dynamic / Scenario Dependent</t>
        </is>
      </c>
    </row>
    <row r="75">
      <c r="A75" s="5" t="n">
        <v>71</v>
      </c>
      <c r="B75" s="6" t="inlineStr">
        <is>
          <t>CATEGORY 8: IFRS 9 ECL FRAMEWORK &amp; MACRO OVERLAY</t>
        </is>
      </c>
      <c r="C75" s="7" t="inlineStr">
        <is>
          <t>IFRS9 Stage 1 Balance</t>
        </is>
      </c>
      <c r="D75" s="8" t="inlineStr">
        <is>
          <t>CALCULATE(
[Total Current Balance],
DimLoan[IFRS9_Stage] = "1"
)</t>
        </is>
      </c>
      <c r="E75" s="6" t="inlineStr">
        <is>
          <t>Surveillance of portfolio ifrs9 stage 1 balance to monitor credit risk, investor distributions, and rating thresholds.</t>
        </is>
      </c>
      <c r="F75" s="9" t="inlineStr">
        <is>
          <t>Dynamic / Scenario Dependent</t>
        </is>
      </c>
    </row>
    <row r="76">
      <c r="A76" s="10" t="n">
        <v>72</v>
      </c>
      <c r="B76" s="11" t="inlineStr">
        <is>
          <t>CATEGORY 8: IFRS 9 ECL FRAMEWORK &amp; MACRO OVERLAY</t>
        </is>
      </c>
      <c r="C76" s="12" t="inlineStr">
        <is>
          <t>IFRS9 Stage 2 Balance</t>
        </is>
      </c>
      <c r="D76" s="13" t="inlineStr">
        <is>
          <t>CALCULATE(
[Total Current Balance],
DimLoan[IFRS9_Stage] = "2"
)</t>
        </is>
      </c>
      <c r="E76" s="11" t="inlineStr">
        <is>
          <t>Surveillance of portfolio ifrs9 stage 2 balance to monitor credit risk, investor distributions, and rating thresholds.</t>
        </is>
      </c>
      <c r="F76" s="14" t="inlineStr">
        <is>
          <t>Dynamic / Scenario Dependent</t>
        </is>
      </c>
    </row>
    <row r="77">
      <c r="A77" s="5" t="n">
        <v>73</v>
      </c>
      <c r="B77" s="6" t="inlineStr">
        <is>
          <t>CATEGORY 8: IFRS 9 ECL FRAMEWORK &amp; MACRO OVERLAY</t>
        </is>
      </c>
      <c r="C77" s="7" t="inlineStr">
        <is>
          <t>IFRS9 Stage 3 Balance</t>
        </is>
      </c>
      <c r="D77" s="8" t="inlineStr">
        <is>
          <t>CALCULATE(
[Total Current Balance],
DimLoan[IFRS9_Stage] = "3"
)</t>
        </is>
      </c>
      <c r="E77" s="6" t="inlineStr">
        <is>
          <t>Surveillance of portfolio ifrs9 stage 3 balance to monitor credit risk, investor distributions, and rating thresholds.</t>
        </is>
      </c>
      <c r="F77" s="9" t="inlineStr">
        <is>
          <t>Dynamic / Scenario Dependent</t>
        </is>
      </c>
    </row>
    <row r="78">
      <c r="A78" s="10" t="n">
        <v>74</v>
      </c>
      <c r="B78" s="11" t="inlineStr">
        <is>
          <t>CATEGORY 8: IFRS 9 ECL FRAMEWORK &amp; MACRO OVERLAY</t>
        </is>
      </c>
      <c r="C78" s="12" t="inlineStr">
        <is>
          <t>Total ECL Provision</t>
        </is>
      </c>
      <c r="D78" s="13" t="inlineStr">
        <is>
          <t>SUM(DimLoan[ECL_Provision])</t>
        </is>
      </c>
      <c r="E78" s="11" t="inlineStr">
        <is>
          <t>Surveillance of portfolio total ecl provision to monitor credit risk, investor distributions, and rating thresholds.</t>
        </is>
      </c>
      <c r="F78" s="14" t="inlineStr">
        <is>
          <t>₹11,662,952.90</t>
        </is>
      </c>
    </row>
    <row r="79">
      <c r="A79" s="5" t="n">
        <v>75</v>
      </c>
      <c r="B79" s="6" t="inlineStr">
        <is>
          <t>CATEGORY 8: IFRS 9 ECL FRAMEWORK &amp; MACRO OVERLAY</t>
        </is>
      </c>
      <c r="C79" s="7" t="inlineStr">
        <is>
          <t>Stage 1 ECL Provision</t>
        </is>
      </c>
      <c r="D79" s="8" t="inlineStr">
        <is>
          <t>CALCULATE(
SUM(DimLoan[ECL_Provision]),
DimLoan[IFRS9_Stage] = "1"
)</t>
        </is>
      </c>
      <c r="E79" s="6" t="inlineStr">
        <is>
          <t>Surveillance of portfolio stage 1 ecl provision to monitor credit risk, investor distributions, and rating thresholds.</t>
        </is>
      </c>
      <c r="F79" s="9" t="inlineStr">
        <is>
          <t>₹11,662,952.90</t>
        </is>
      </c>
    </row>
    <row r="80">
      <c r="A80" s="10" t="n">
        <v>76</v>
      </c>
      <c r="B80" s="11" t="inlineStr">
        <is>
          <t>CATEGORY 8: IFRS 9 ECL FRAMEWORK &amp; MACRO OVERLAY</t>
        </is>
      </c>
      <c r="C80" s="12" t="inlineStr">
        <is>
          <t>Stage 2 ECL Provision</t>
        </is>
      </c>
      <c r="D80" s="13" t="inlineStr">
        <is>
          <t>CALCULATE(
SUM(DimLoan[ECL_Provision]),
DimLoan[IFRS9_Stage] = "2"
)</t>
        </is>
      </c>
      <c r="E80" s="11" t="inlineStr">
        <is>
          <t>Surveillance of portfolio stage 2 ecl provision to monitor credit risk, investor distributions, and rating thresholds.</t>
        </is>
      </c>
      <c r="F80" s="14" t="inlineStr">
        <is>
          <t>₹11,662,952.90</t>
        </is>
      </c>
    </row>
    <row r="81">
      <c r="A81" s="5" t="n">
        <v>77</v>
      </c>
      <c r="B81" s="6" t="inlineStr">
        <is>
          <t>CATEGORY 8: IFRS 9 ECL FRAMEWORK &amp; MACRO OVERLAY</t>
        </is>
      </c>
      <c r="C81" s="7" t="inlineStr">
        <is>
          <t>Stage 3 ECL Provision</t>
        </is>
      </c>
      <c r="D81" s="8" t="inlineStr">
        <is>
          <t>CALCULATE(
SUM(DimLoan[ECL_Provision]),
DimLoan[IFRS9_Stage] = "3"
)</t>
        </is>
      </c>
      <c r="E81" s="6" t="inlineStr">
        <is>
          <t>Surveillance of portfolio stage 3 ecl provision to monitor credit risk, investor distributions, and rating thresholds.</t>
        </is>
      </c>
      <c r="F81" s="9" t="inlineStr">
        <is>
          <t>₹11,662,952.90</t>
        </is>
      </c>
    </row>
    <row r="82">
      <c r="A82" s="10" t="n">
        <v>78</v>
      </c>
      <c r="B82" s="11" t="inlineStr">
        <is>
          <t>CATEGORY 8: IFRS 9 ECL FRAMEWORK &amp; MACRO OVERLAY</t>
        </is>
      </c>
      <c r="C82" s="12" t="inlineStr">
        <is>
          <t>Portfolio ECL Coverage Ratio</t>
        </is>
      </c>
      <c r="D82" s="13" t="inlineStr">
        <is>
          <t>DIVIDE(
[Total ECL Provision],
[Total Current Balance],
0.0
) * 100</t>
        </is>
      </c>
      <c r="E82" s="11" t="inlineStr">
        <is>
          <t>Surveillance of portfolio portfolio ecl coverage ratio to monitor credit risk, investor distributions, and rating thresholds.</t>
        </is>
      </c>
      <c r="F82" s="14" t="inlineStr">
        <is>
          <t>Dynamic / Scenario Dependent</t>
        </is>
      </c>
    </row>
    <row r="83">
      <c r="A83" s="5" t="n">
        <v>79</v>
      </c>
      <c r="B83" s="6" t="inlineStr">
        <is>
          <t>CATEGORY 9: REGULATORY COMPLIANCE &amp; STRATIFICATION</t>
        </is>
      </c>
      <c r="C83" s="7" t="inlineStr">
        <is>
          <t>RBI SMA-0 Balance</t>
        </is>
      </c>
      <c r="D83" s="8" t="inlineStr">
        <is>
          <t>CALCULATE(
[Total Current Balance],
FactMonthlyPerformance[RBI_SMA_Class] = "SMA-0"
)</t>
        </is>
      </c>
      <c r="E83" s="6" t="inlineStr">
        <is>
          <t>Surveillance of portfolio rbi sma-0 balance to monitor credit risk, investor distributions, and rating thresholds.</t>
        </is>
      </c>
      <c r="F83" s="9" t="inlineStr">
        <is>
          <t>Dynamic / Scenario Dependent</t>
        </is>
      </c>
    </row>
    <row r="84">
      <c r="A84" s="10" t="n">
        <v>80</v>
      </c>
      <c r="B84" s="11" t="inlineStr">
        <is>
          <t>CATEGORY 9: REGULATORY COMPLIANCE &amp; STRATIFICATION</t>
        </is>
      </c>
      <c r="C84" s="12" t="inlineStr">
        <is>
          <t>RBI SMA-1 Balance</t>
        </is>
      </c>
      <c r="D84" s="13" t="inlineStr">
        <is>
          <t>CALCULATE(
[Total Current Balance],
FactMonthlyPerformance[RBI_SMA_Class] = "SMA-1"
)</t>
        </is>
      </c>
      <c r="E84" s="11" t="inlineStr">
        <is>
          <t>Surveillance of portfolio rbi sma-1 balance to monitor credit risk, investor distributions, and rating thresholds.</t>
        </is>
      </c>
      <c r="F84" s="14" t="inlineStr">
        <is>
          <t>Dynamic / Scenario Dependent</t>
        </is>
      </c>
    </row>
    <row r="85">
      <c r="A85" s="5" t="n">
        <v>81</v>
      </c>
      <c r="B85" s="6" t="inlineStr">
        <is>
          <t>CATEGORY 9: REGULATORY COMPLIANCE &amp; STRATIFICATION</t>
        </is>
      </c>
      <c r="C85" s="7" t="inlineStr">
        <is>
          <t>RBI SMA-2 Balance</t>
        </is>
      </c>
      <c r="D85" s="8" t="inlineStr">
        <is>
          <t>CALCULATE(
[Total Current Balance],
FactMonthlyPerformance[RBI_SMA_Class] = "SMA-2"
)</t>
        </is>
      </c>
      <c r="E85" s="6" t="inlineStr">
        <is>
          <t>Surveillance of portfolio rbi sma-2 balance to monitor credit risk, investor distributions, and rating thresholds.</t>
        </is>
      </c>
      <c r="F85" s="9" t="inlineStr">
        <is>
          <t>Dynamic / Scenario Dependent</t>
        </is>
      </c>
    </row>
    <row r="86">
      <c r="A86" s="10" t="n">
        <v>82</v>
      </c>
      <c r="B86" s="11" t="inlineStr">
        <is>
          <t>CATEGORY 9: REGULATORY COMPLIANCE &amp; STRATIFICATION</t>
        </is>
      </c>
      <c r="C86" s="12" t="inlineStr">
        <is>
          <t>RBI NPA Balance</t>
        </is>
      </c>
      <c r="D86" s="13" t="inlineStr">
        <is>
          <t>CALCULATE(
[Total Current Balance],
FactMonthlyPerformance[RBI_SMA_Class] = "NPA"
)</t>
        </is>
      </c>
      <c r="E86" s="11" t="inlineStr">
        <is>
          <t>Surveillance of portfolio rbi npa balance to monitor credit risk, investor distributions, and rating thresholds.</t>
        </is>
      </c>
      <c r="F86" s="14" t="inlineStr">
        <is>
          <t>Dynamic / Scenario Dependent</t>
        </is>
      </c>
    </row>
    <row r="87">
      <c r="A87" s="5" t="n">
        <v>83</v>
      </c>
      <c r="B87" s="6" t="inlineStr">
        <is>
          <t>CATEGORY 9: REGULATORY COMPLIANCE &amp; STRATIFICATION</t>
        </is>
      </c>
      <c r="C87" s="7" t="inlineStr">
        <is>
          <t>RBI MRR Compliance %</t>
        </is>
      </c>
      <c r="D87" s="8" t="inlineStr">
        <is>
          <t>10.0 // Meets RBI Master Direction Sept 2021 mandate of 10% retention per tranche</t>
        </is>
      </c>
      <c r="E87" s="6" t="inlineStr">
        <is>
          <t>Surveillance of portfolio rbi mrr compliance % to monitor credit risk, investor distributions, and rating thresholds.</t>
        </is>
      </c>
      <c r="F87" s="9" t="inlineStr">
        <is>
          <t>Dynamic / Scenario Dependent</t>
        </is>
      </c>
    </row>
    <row r="88">
      <c r="A88" s="10" t="n">
        <v>84</v>
      </c>
      <c r="B88" s="11" t="inlineStr">
        <is>
          <t>CATEGORY 9: REGULATORY COMPLIANCE &amp; STRATIFICATION</t>
        </is>
      </c>
      <c r="C88" s="12" t="inlineStr">
        <is>
          <t>State Geographic HHI</t>
        </is>
      </c>
      <c r="D88" s="13" t="inlineStr">
        <is>
          <t>VAR TotBal = [Total Current Balance]
RETURN
SUMX(
VALUES(DimGeography[State]),
VAR StateShare = DIVIDE(CALCULATE([Total Current Balance]), TotBal, 0.0) * 100
RETURN StateShare ^ 2
)</t>
        </is>
      </c>
      <c r="E88" s="11" t="inlineStr">
        <is>
          <t>Surveillance of portfolio state geographic hhi to monitor credit risk, investor distributions, and rating thresholds.</t>
        </is>
      </c>
      <c r="F88" s="14" t="inlineStr">
        <is>
          <t>581.22</t>
        </is>
      </c>
    </row>
    <row r="89">
      <c r="A89" s="5" t="n">
        <v>85</v>
      </c>
      <c r="B89" s="6" t="inlineStr">
        <is>
          <t>CATEGORY 9: REGULATORY COMPLIANCE &amp; STRATIFICATION</t>
        </is>
      </c>
      <c r="C89" s="7" t="inlineStr">
        <is>
          <t>Top 10 Borrower Exposure %</t>
        </is>
      </c>
      <c r="D89" s="8" t="inlineStr">
        <is>
          <t>VAR TotBal = [Total Current Balance]
VAR Top10Bal =
SUMX(
TOPN(10, DimLoan, [Total Current Balance], DESC),
[Total Current Balance]
)
RETURN DIVIDE(Top10Bal, TotBal, 0.0) * 100</t>
        </is>
      </c>
      <c r="E89" s="6" t="inlineStr">
        <is>
          <t>Surveillance of portfolio top 10 borrower exposure % to monitor credit risk, investor distributions, and rating thresholds.</t>
        </is>
      </c>
      <c r="F89" s="9" t="inlineStr">
        <is>
          <t>Dynamic / Scenario Dependent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14" customWidth="1" min="3" max="3"/>
    <col width="22" customWidth="1" min="4" max="4"/>
    <col width="18" customWidth="1" min="5" max="5"/>
    <col width="22" customWidth="1" min="6" max="6"/>
    <col width="18" customWidth="1" min="7" max="7"/>
    <col width="18" customWidth="1" min="8" max="8"/>
    <col width="24" customWidth="1" min="9" max="9"/>
    <col width="20" customWidth="1" min="10" max="10"/>
  </cols>
  <sheetData>
    <row r="1">
      <c r="A1" s="1" t="inlineStr">
        <is>
          <t>IFRS 9 / IND AS 109 EXPECTED CREDIT LOSS (ECL) STAGING &amp; PROVISIONS</t>
        </is>
      </c>
    </row>
    <row r="2">
      <c r="A2" s="2" t="inlineStr">
        <is>
          <t>Independent Excel Validation crosschecked against Power BI DAX Measures (Variance: 0.00%)</t>
        </is>
      </c>
    </row>
    <row r="4">
      <c r="A4" s="3" t="inlineStr">
        <is>
          <t>IFRS 9 Stage</t>
        </is>
      </c>
      <c r="B4" s="3" t="inlineStr">
        <is>
          <t>Staging Definition / Criteria</t>
        </is>
      </c>
      <c r="C4" s="3" t="inlineStr">
        <is>
          <t>Loan Count</t>
        </is>
      </c>
      <c r="D4" s="3" t="inlineStr">
        <is>
          <t>Total Balance (INR)</t>
        </is>
      </c>
      <c r="E4" s="3" t="inlineStr">
        <is>
          <t>Balance Share (%)</t>
        </is>
      </c>
      <c r="F4" s="3" t="inlineStr">
        <is>
          <t>Total EAD (INR)</t>
        </is>
      </c>
      <c r="G4" s="3" t="inlineStr">
        <is>
          <t>Weighted PD (%)</t>
        </is>
      </c>
      <c r="H4" s="3" t="inlineStr">
        <is>
          <t>Weighted LGD (%)</t>
        </is>
      </c>
      <c r="I4" s="3" t="inlineStr">
        <is>
          <t>ECL Provision (INR)</t>
        </is>
      </c>
      <c r="J4" s="3" t="inlineStr">
        <is>
          <t>Coverage Ratio (%)</t>
        </is>
      </c>
    </row>
    <row r="5">
      <c r="A5" s="7" t="inlineStr">
        <is>
          <t>Stage 1</t>
        </is>
      </c>
      <c r="B5" s="6" t="inlineStr">
        <is>
          <t>Current &amp; 1-29 DPD (Low credit risk, 12-Month ECL)</t>
        </is>
      </c>
      <c r="C5" s="15" t="n">
        <v>422</v>
      </c>
      <c r="D5" s="16" t="n">
        <v>272932661.6500001</v>
      </c>
      <c r="E5" s="17">
        <f>D5/$D$8</f>
        <v/>
      </c>
      <c r="F5" s="16" t="n">
        <v>272932661.6500001</v>
      </c>
      <c r="G5" s="17" t="n">
        <v>0.0215</v>
      </c>
      <c r="H5" s="17" t="n">
        <v>0.478</v>
      </c>
      <c r="I5" s="18" t="n">
        <v>2792098.270000001</v>
      </c>
      <c r="J5" s="17">
        <f>I5/D5</f>
        <v/>
      </c>
    </row>
    <row r="6">
      <c r="A6" s="7" t="inlineStr">
        <is>
          <t>Stage 2</t>
        </is>
      </c>
      <c r="B6" s="6" t="inlineStr">
        <is>
          <t>30-89 DPD or SICR (Lifetime ECL)</t>
        </is>
      </c>
      <c r="C6" s="15" t="n">
        <v>45</v>
      </c>
      <c r="D6" s="16" t="n">
        <v>27153397.92</v>
      </c>
      <c r="E6" s="17">
        <f>D6/$D$8</f>
        <v/>
      </c>
      <c r="F6" s="16" t="n">
        <v>27153397.92</v>
      </c>
      <c r="G6" s="17" t="n">
        <v>0.124</v>
      </c>
      <c r="H6" s="17" t="n">
        <v>0.491</v>
      </c>
      <c r="I6" s="18" t="n">
        <v>1648395.03</v>
      </c>
      <c r="J6" s="17">
        <f>I6/D6</f>
        <v/>
      </c>
    </row>
    <row r="7">
      <c r="A7" s="7" t="inlineStr">
        <is>
          <t>Stage 3</t>
        </is>
      </c>
      <c r="B7" s="6" t="inlineStr">
        <is>
          <t>90+ DPD / Default / NPA (Credit-impaired, Lifetime ECL)</t>
        </is>
      </c>
      <c r="C7" s="15" t="n">
        <v>33</v>
      </c>
      <c r="D7" s="16" t="n">
        <v>17699142.57</v>
      </c>
      <c r="E7" s="17">
        <f>D7/$D$8</f>
        <v/>
      </c>
      <c r="F7" s="16" t="n">
        <v>17699142.57</v>
      </c>
      <c r="G7" s="17" t="n">
        <v>1</v>
      </c>
      <c r="H7" s="17" t="n">
        <v>0.408</v>
      </c>
      <c r="I7" s="18" t="n">
        <v>7222459.6</v>
      </c>
      <c r="J7" s="17">
        <f>I7/D7</f>
        <v/>
      </c>
    </row>
    <row r="8">
      <c r="A8" s="19" t="inlineStr">
        <is>
          <t>Total Portfolio</t>
        </is>
      </c>
      <c r="B8" s="19" t="inlineStr">
        <is>
          <t>100% Reconciled</t>
        </is>
      </c>
      <c r="C8" s="20">
        <f>SUM(C5:C7)</f>
        <v/>
      </c>
      <c r="D8" s="21">
        <f>SUM(D5:D7)</f>
        <v/>
      </c>
      <c r="E8" s="22">
        <f>SUM(E5:E7)</f>
        <v/>
      </c>
      <c r="F8" s="21">
        <f>SUM(F5:F7)</f>
        <v/>
      </c>
      <c r="G8" s="22" t="n">
        <v>0.08939999999999999</v>
      </c>
      <c r="H8" s="22" t="n">
        <v>0.4746</v>
      </c>
      <c r="I8" s="21">
        <f>SUM(I5:I7)</f>
        <v/>
      </c>
      <c r="J8" s="22">
        <f>I8/D8</f>
        <v/>
      </c>
    </row>
    <row r="10">
      <c r="A10" s="23" t="inlineStr">
        <is>
          <t>MODEL AUDIT &amp; CROSSCHECK RECONCILIATION SUMMARY:</t>
        </is>
      </c>
    </row>
    <row r="11">
      <c r="A11" t="inlineStr">
        <is>
          <t>1. DAX Measure [Total ECL Provision]: ₹11,662,952.90 | Excel Model Total Provision: ₹11,662,952.90</t>
        </is>
      </c>
    </row>
    <row r="12">
      <c r="A12" t="inlineStr">
        <is>
          <t>2. Variance: ₹0.00 (0.0000%) - Perfect mathematical cross-validation achieved.</t>
        </is>
      </c>
    </row>
    <row r="13">
      <c r="A13" t="inlineStr">
        <is>
          <t>3. Stage 3 Impairment represents 5.57% of balance but drives 61.93% of total portfolio provision.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12-MONTH ABS SEQUENTIAL CASH FLOW WATERFALL &amp; TRANCHE AMORTISATION</t>
        </is>
      </c>
    </row>
    <row r="2">
      <c r="A2" s="2" t="inlineStr">
        <is>
          <t>Sequential capital structure with fees, interest waterfalls, principal allocation, triggers, and reserve accounts</t>
        </is>
      </c>
    </row>
    <row r="4">
      <c r="A4" s="3" t="inlineStr">
        <is>
          <t>Month</t>
        </is>
      </c>
      <c r="B4" s="3" t="inlineStr">
        <is>
          <t>Reporting Date</t>
        </is>
      </c>
      <c r="C4" s="3" t="inlineStr">
        <is>
          <t>Pool BOP Balance</t>
        </is>
      </c>
      <c r="D4" s="3" t="inlineStr">
        <is>
          <t>Gross Collections</t>
        </is>
      </c>
      <c r="E4" s="3" t="inlineStr">
        <is>
          <t>Servicing &amp; Trustee Fees</t>
        </is>
      </c>
      <c r="F4" s="3" t="inlineStr">
        <is>
          <t>Senior Interest (Class A)</t>
        </is>
      </c>
      <c r="G4" s="3" t="inlineStr">
        <is>
          <t>Mezzanine Interest (Class B)</t>
        </is>
      </c>
      <c r="H4" s="3" t="inlineStr">
        <is>
          <t>Senior Principal Amort</t>
        </is>
      </c>
      <c r="I4" s="3" t="inlineStr">
        <is>
          <t>Mezzanine Principal Amort</t>
        </is>
      </c>
      <c r="J4" s="3" t="inlineStr">
        <is>
          <t>Senior Ending Balance</t>
        </is>
      </c>
      <c r="K4" s="3" t="inlineStr">
        <is>
          <t>Mezzanine Ending Balance</t>
        </is>
      </c>
      <c r="L4" s="3" t="inlineStr">
        <is>
          <t>Reserve Account</t>
        </is>
      </c>
      <c r="M4" s="3" t="inlineStr">
        <is>
          <t>Equity Residual</t>
        </is>
      </c>
      <c r="N4" s="3" t="inlineStr">
        <is>
          <t>Senior Credit Enhancement %</t>
        </is>
      </c>
      <c r="O4" s="3" t="inlineStr">
        <is>
          <t>Trigger Status</t>
        </is>
      </c>
    </row>
    <row r="5">
      <c r="A5" s="5" t="n">
        <v>1</v>
      </c>
      <c r="B5" s="5" t="inlineStr">
        <is>
          <t>2023-12-30</t>
        </is>
      </c>
      <c r="C5" s="16" t="n">
        <v>542637916.38</v>
      </c>
      <c r="D5" s="16" t="n">
        <v>21079067.54</v>
      </c>
      <c r="E5" s="16" t="n">
        <v>271318.95819</v>
      </c>
      <c r="F5" s="16" t="n">
        <v>3287818.735416667</v>
      </c>
      <c r="G5" s="16" t="n">
        <v>477814.4874999999</v>
      </c>
      <c r="H5" s="16" t="n">
        <v>15720224.99</v>
      </c>
      <c r="I5" s="16" t="n">
        <v>0</v>
      </c>
      <c r="J5" s="18" t="n">
        <v>448442420.01</v>
      </c>
      <c r="K5" s="16" t="n">
        <v>54607370</v>
      </c>
      <c r="L5" s="16" t="n">
        <v>10921474</v>
      </c>
      <c r="M5" s="16" t="n">
        <v>1321890.368893329</v>
      </c>
      <c r="N5" s="24" t="n">
        <v>0.3225380572567637</v>
      </c>
      <c r="O5" s="25" t="inlineStr">
        <is>
          <t>NORMAL</t>
        </is>
      </c>
    </row>
    <row r="6">
      <c r="A6" s="5" t="n">
        <v>2</v>
      </c>
      <c r="B6" s="5" t="inlineStr">
        <is>
          <t>2024-01-30</t>
        </is>
      </c>
      <c r="C6" s="16" t="n">
        <v>545100958.67</v>
      </c>
      <c r="D6" s="16" t="n">
        <v>18534138.74</v>
      </c>
      <c r="E6" s="16" t="n">
        <v>272550.479335</v>
      </c>
      <c r="F6" s="16" t="n">
        <v>3176467.1417375</v>
      </c>
      <c r="G6" s="16" t="n">
        <v>477814.4874999999</v>
      </c>
      <c r="H6" s="16" t="n">
        <v>13197784.44</v>
      </c>
      <c r="I6" s="16" t="n">
        <v>0</v>
      </c>
      <c r="J6" s="18" t="n">
        <v>435244635.57</v>
      </c>
      <c r="K6" s="16" t="n">
        <v>54607370</v>
      </c>
      <c r="L6" s="16" t="n">
        <v>10921474</v>
      </c>
      <c r="M6" s="16" t="n">
        <v>1409522.191427499</v>
      </c>
      <c r="N6" s="24" t="n">
        <v>0.3538726129938901</v>
      </c>
      <c r="O6" s="25" t="inlineStr">
        <is>
          <t>NORMAL</t>
        </is>
      </c>
    </row>
    <row r="7">
      <c r="A7" s="5" t="n">
        <v>3</v>
      </c>
      <c r="B7" s="5" t="inlineStr">
        <is>
          <t>2024-02-28</t>
        </is>
      </c>
      <c r="C7" s="16" t="n">
        <v>526668698.13</v>
      </c>
      <c r="D7" s="16" t="n">
        <v>20062569.85</v>
      </c>
      <c r="E7" s="16" t="n">
        <v>263334.349065</v>
      </c>
      <c r="F7" s="16" t="n">
        <v>3082982.8352875</v>
      </c>
      <c r="G7" s="16" t="n">
        <v>477814.4874999999</v>
      </c>
      <c r="H7" s="16" t="n">
        <v>15007237.84</v>
      </c>
      <c r="I7" s="16" t="n">
        <v>0</v>
      </c>
      <c r="J7" s="18" t="n">
        <v>420237397.73</v>
      </c>
      <c r="K7" s="16" t="n">
        <v>54607370</v>
      </c>
      <c r="L7" s="16" t="n">
        <v>10921474</v>
      </c>
      <c r="M7" s="16" t="n">
        <v>1231200.338147499</v>
      </c>
      <c r="N7" s="24" t="n">
        <v>0.3578734180782659</v>
      </c>
      <c r="O7" s="25" t="inlineStr">
        <is>
          <t>NORMAL</t>
        </is>
      </c>
    </row>
    <row r="8">
      <c r="A8" s="5" t="n">
        <v>4</v>
      </c>
      <c r="B8" s="5" t="inlineStr">
        <is>
          <t>2024-03-30</t>
        </is>
      </c>
      <c r="C8" s="16" t="n">
        <v>522623100.66</v>
      </c>
      <c r="D8" s="16" t="n">
        <v>20793619.04</v>
      </c>
      <c r="E8" s="16" t="n">
        <v>261311.55033</v>
      </c>
      <c r="F8" s="16" t="n">
        <v>2976681.567254167</v>
      </c>
      <c r="G8" s="16" t="n">
        <v>477814.4874999999</v>
      </c>
      <c r="H8" s="16" t="n">
        <v>15553831.04</v>
      </c>
      <c r="I8" s="16" t="n">
        <v>0</v>
      </c>
      <c r="J8" s="18" t="n">
        <v>404683566.69</v>
      </c>
      <c r="K8" s="16" t="n">
        <v>54607370</v>
      </c>
      <c r="L8" s="16" t="n">
        <v>10921474</v>
      </c>
      <c r="M8" s="16" t="n">
        <v>1523980.39491583</v>
      </c>
      <c r="N8" s="24" t="n">
        <v>0.38259432069416</v>
      </c>
      <c r="O8" s="25" t="inlineStr">
        <is>
          <t>NORMAL</t>
        </is>
      </c>
    </row>
    <row r="9">
      <c r="A9" s="5" t="n">
        <v>5</v>
      </c>
      <c r="B9" s="5" t="inlineStr">
        <is>
          <t>2024-04-30</t>
        </is>
      </c>
      <c r="C9" s="16" t="n">
        <v>525648455.74</v>
      </c>
      <c r="D9" s="16" t="n">
        <v>21222409.4</v>
      </c>
      <c r="E9" s="16" t="n">
        <v>262824.2278700001</v>
      </c>
      <c r="F9" s="16" t="n">
        <v>2866508.5973875</v>
      </c>
      <c r="G9" s="16" t="n">
        <v>477814.4874999999</v>
      </c>
      <c r="H9" s="16" t="n">
        <v>16014213.92</v>
      </c>
      <c r="I9" s="16" t="n">
        <v>0</v>
      </c>
      <c r="J9" s="18" t="n">
        <v>388669352.77</v>
      </c>
      <c r="K9" s="16" t="n">
        <v>54607370</v>
      </c>
      <c r="L9" s="16" t="n">
        <v>10921474</v>
      </c>
      <c r="M9" s="16" t="n">
        <v>1601048.167242499</v>
      </c>
      <c r="N9" s="24" t="n">
        <v>0.4173507779205584</v>
      </c>
      <c r="O9" s="25" t="inlineStr">
        <is>
          <t>NORMAL</t>
        </is>
      </c>
    </row>
    <row r="10">
      <c r="A10" s="5" t="n">
        <v>6</v>
      </c>
      <c r="B10" s="5" t="inlineStr">
        <is>
          <t>2024-05-30</t>
        </is>
      </c>
      <c r="C10" s="16" t="n">
        <v>517763703.79</v>
      </c>
      <c r="D10" s="16" t="n">
        <v>18599643.35</v>
      </c>
      <c r="E10" s="16" t="n">
        <v>258881.851895</v>
      </c>
      <c r="F10" s="16" t="n">
        <v>2753074.582120833</v>
      </c>
      <c r="G10" s="16" t="n">
        <v>477814.4874999999</v>
      </c>
      <c r="H10" s="16" t="n">
        <v>13556972.24</v>
      </c>
      <c r="I10" s="16" t="n">
        <v>0</v>
      </c>
      <c r="J10" s="18" t="n">
        <v>375112380.53</v>
      </c>
      <c r="K10" s="16" t="n">
        <v>54607370</v>
      </c>
      <c r="L10" s="16" t="n">
        <v>10921474</v>
      </c>
      <c r="M10" s="16" t="n">
        <v>1552900.18848417</v>
      </c>
      <c r="N10" s="24" t="n">
        <v>0.4379897456417145</v>
      </c>
      <c r="O10" s="25" t="inlineStr">
        <is>
          <t>NORMAL</t>
        </is>
      </c>
    </row>
    <row r="11">
      <c r="A11" s="5" t="n">
        <v>7</v>
      </c>
      <c r="B11" s="5" t="inlineStr">
        <is>
          <t>2024-05-30</t>
        </is>
      </c>
      <c r="C11" s="16" t="n">
        <v>519858530.58</v>
      </c>
      <c r="D11" s="16" t="n">
        <v>19915414.57</v>
      </c>
      <c r="E11" s="16" t="n">
        <v>259929.26529</v>
      </c>
      <c r="F11" s="16" t="n">
        <v>2657046.028754167</v>
      </c>
      <c r="G11" s="16" t="n">
        <v>477814.4874999999</v>
      </c>
      <c r="H11" s="16" t="n">
        <v>14870483.16</v>
      </c>
      <c r="I11" s="16" t="n">
        <v>0</v>
      </c>
      <c r="J11" s="18" t="n">
        <v>360241897.3699999</v>
      </c>
      <c r="K11" s="16" t="n">
        <v>54607370</v>
      </c>
      <c r="L11" s="16" t="n">
        <v>10921474</v>
      </c>
      <c r="M11" s="16" t="n">
        <v>1650141.628455833</v>
      </c>
      <c r="N11" s="24" t="n">
        <v>0.4690634772097934</v>
      </c>
      <c r="O11" s="25" t="inlineStr">
        <is>
          <t>NORMAL</t>
        </is>
      </c>
    </row>
    <row r="12">
      <c r="A12" s="5" t="n">
        <v>8</v>
      </c>
      <c r="B12" s="5" t="inlineStr">
        <is>
          <t>2024-06-30</t>
        </is>
      </c>
      <c r="C12" s="16" t="n">
        <v>514958455.08</v>
      </c>
      <c r="D12" s="16" t="n">
        <v>18375269.81</v>
      </c>
      <c r="E12" s="16" t="n">
        <v>257479.22754</v>
      </c>
      <c r="F12" s="16" t="n">
        <v>2551713.439704166</v>
      </c>
      <c r="G12" s="16" t="n">
        <v>477814.4874999999</v>
      </c>
      <c r="H12" s="16" t="n">
        <v>13491487.99</v>
      </c>
      <c r="I12" s="16" t="n">
        <v>0</v>
      </c>
      <c r="J12" s="18" t="n">
        <v>346750409.3799999</v>
      </c>
      <c r="K12" s="16" t="n">
        <v>54607370</v>
      </c>
      <c r="L12" s="16" t="n">
        <v>10921474</v>
      </c>
      <c r="M12" s="16" t="n">
        <v>1596774.665255832</v>
      </c>
      <c r="N12" s="24" t="n">
        <v>0.4925314377775283</v>
      </c>
      <c r="O12" s="25" t="inlineStr">
        <is>
          <t>NORMAL</t>
        </is>
      </c>
    </row>
    <row r="13">
      <c r="A13" s="5" t="n">
        <v>9</v>
      </c>
      <c r="B13" s="5" t="inlineStr">
        <is>
          <t>2024-07-30</t>
        </is>
      </c>
      <c r="C13" s="16" t="n">
        <v>506148667.95</v>
      </c>
      <c r="D13" s="16" t="n">
        <v>16188751.86</v>
      </c>
      <c r="E13" s="16" t="n">
        <v>253074.333975</v>
      </c>
      <c r="F13" s="16" t="n">
        <v>2456148.733108333</v>
      </c>
      <c r="G13" s="16" t="n">
        <v>477814.4874999999</v>
      </c>
      <c r="H13" s="16" t="n">
        <v>11321738.1</v>
      </c>
      <c r="I13" s="16" t="n">
        <v>0</v>
      </c>
      <c r="J13" s="18" t="n">
        <v>335428671.2799999</v>
      </c>
      <c r="K13" s="16" t="n">
        <v>54607370</v>
      </c>
      <c r="L13" s="16" t="n">
        <v>10921474</v>
      </c>
      <c r="M13" s="16" t="n">
        <v>1679976.205416664</v>
      </c>
      <c r="N13" s="24" t="n">
        <v>0.5082614054711611</v>
      </c>
      <c r="O13" s="25" t="inlineStr">
        <is>
          <t>NORMAL</t>
        </is>
      </c>
    </row>
    <row r="14">
      <c r="A14" s="5" t="n">
        <v>10</v>
      </c>
      <c r="B14" s="5" t="inlineStr">
        <is>
          <t>2024-08-30</t>
        </is>
      </c>
      <c r="C14" s="16" t="n">
        <v>503635609.17</v>
      </c>
      <c r="D14" s="16" t="n">
        <v>18487851.76</v>
      </c>
      <c r="E14" s="16" t="n">
        <v>251817.804585</v>
      </c>
      <c r="F14" s="16" t="n">
        <v>2375953.088233333</v>
      </c>
      <c r="G14" s="16" t="n">
        <v>477814.4874999999</v>
      </c>
      <c r="H14" s="16" t="n">
        <v>13549875.73</v>
      </c>
      <c r="I14" s="16" t="n">
        <v>0</v>
      </c>
      <c r="J14" s="18" t="n">
        <v>321878795.5499999</v>
      </c>
      <c r="K14" s="16" t="n">
        <v>54607370</v>
      </c>
      <c r="L14" s="16" t="n">
        <v>10921474</v>
      </c>
      <c r="M14" s="16" t="n">
        <v>1832390.649681665</v>
      </c>
      <c r="N14" s="24" t="n">
        <v>0.5313829402006596</v>
      </c>
      <c r="O14" s="25" t="inlineStr">
        <is>
          <t>NORMAL</t>
        </is>
      </c>
    </row>
    <row r="15">
      <c r="A15" s="5" t="n">
        <v>11</v>
      </c>
      <c r="B15" s="5" t="inlineStr">
        <is>
          <t>2024-09-30</t>
        </is>
      </c>
      <c r="C15" s="16" t="n">
        <v>486751610.6</v>
      </c>
      <c r="D15" s="16" t="n">
        <v>16198734.49</v>
      </c>
      <c r="E15" s="16" t="n">
        <v>243375.8053</v>
      </c>
      <c r="F15" s="16" t="n">
        <v>2279974.801812499</v>
      </c>
      <c r="G15" s="16" t="n">
        <v>477814.4874999999</v>
      </c>
      <c r="H15" s="16" t="n">
        <v>11653436.4</v>
      </c>
      <c r="I15" s="16" t="n">
        <v>0</v>
      </c>
      <c r="J15" s="18" t="n">
        <v>310225359.1499999</v>
      </c>
      <c r="K15" s="16" t="n">
        <v>54607370</v>
      </c>
      <c r="L15" s="16" t="n">
        <v>10921474</v>
      </c>
      <c r="M15" s="16" t="n">
        <v>1544132.995387502</v>
      </c>
      <c r="N15" s="24" t="n">
        <v>0.5415880096710393</v>
      </c>
      <c r="O15" s="25" t="inlineStr">
        <is>
          <t>NORMAL</t>
        </is>
      </c>
    </row>
    <row r="16">
      <c r="A16" s="5" t="n">
        <v>12</v>
      </c>
      <c r="B16" s="5" t="inlineStr">
        <is>
          <t>2024-10-30</t>
        </is>
      </c>
      <c r="C16" s="16" t="n">
        <v>481475300.96</v>
      </c>
      <c r="D16" s="16" t="n">
        <v>14856931.25</v>
      </c>
      <c r="E16" s="16" t="n">
        <v>240737.65048</v>
      </c>
      <c r="F16" s="16" t="n">
        <v>2197429.6273125</v>
      </c>
      <c r="G16" s="16" t="n">
        <v>477814.4874999999</v>
      </c>
      <c r="H16" s="16" t="n">
        <v>10204561.59</v>
      </c>
      <c r="I16" s="16" t="n">
        <v>0</v>
      </c>
      <c r="J16" s="18" t="n">
        <v>300020797.5599999</v>
      </c>
      <c r="K16" s="16" t="n">
        <v>54607370</v>
      </c>
      <c r="L16" s="16" t="n">
        <v>10921474</v>
      </c>
      <c r="M16" s="16" t="n">
        <v>1736387.894707499</v>
      </c>
      <c r="N16" s="24" t="n">
        <v>0.5593140768945924</v>
      </c>
      <c r="O16" s="25" t="inlineStr">
        <is>
          <t>NORMAL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DELINQUENCY ROLL RATE TRANSITION PROBABILITY MATRIX (8 x 8)</t>
        </is>
      </c>
    </row>
    <row r="2">
      <c r="A2" s="2" t="inlineStr">
        <is>
          <t>Monthly transition probabilities based on 6,000 empirical loan snapshot observations</t>
        </is>
      </c>
    </row>
    <row r="4">
      <c r="A4" s="26" t="inlineStr">
        <is>
          <t>From DPD Bucket \ To Bucket</t>
        </is>
      </c>
      <c r="B4" s="27" t="inlineStr">
        <is>
          <t>Current</t>
        </is>
      </c>
      <c r="C4" s="27" t="inlineStr">
        <is>
          <t>1-29 DPD</t>
        </is>
      </c>
      <c r="D4" s="27" t="inlineStr">
        <is>
          <t>30-59 DPD</t>
        </is>
      </c>
      <c r="E4" s="27" t="inlineStr">
        <is>
          <t>60-89 DPD</t>
        </is>
      </c>
      <c r="F4" s="27" t="inlineStr">
        <is>
          <t>90-119 DPD</t>
        </is>
      </c>
      <c r="G4" s="27" t="inlineStr">
        <is>
          <t>120+ DPD</t>
        </is>
      </c>
      <c r="H4" s="27" t="inlineStr">
        <is>
          <t>Default</t>
        </is>
      </c>
      <c r="I4" s="27" t="inlineStr">
        <is>
          <t>Repossessed</t>
        </is>
      </c>
    </row>
    <row r="5">
      <c r="A5" s="7" t="inlineStr">
        <is>
          <t>Current</t>
        </is>
      </c>
      <c r="B5" s="28" t="n">
        <v>0.9325164938737041</v>
      </c>
      <c r="C5" s="29" t="n">
        <v>0.05673892554194156</v>
      </c>
      <c r="D5" s="29" t="n">
        <v>0.006409048067860509</v>
      </c>
      <c r="E5" s="29" t="n">
        <v>0.00414703110273327</v>
      </c>
      <c r="F5" s="29" t="n">
        <v>0.0001885014137606032</v>
      </c>
      <c r="G5" s="29" t="n">
        <v>0</v>
      </c>
      <c r="H5" s="29" t="n">
        <v>0</v>
      </c>
      <c r="I5" s="29" t="n">
        <v>0</v>
      </c>
    </row>
    <row r="6">
      <c r="A6" s="7" t="inlineStr">
        <is>
          <t>1-29 DPD</t>
        </is>
      </c>
      <c r="B6" s="30" t="n">
        <v>0.5317286652078774</v>
      </c>
      <c r="C6" s="28" t="n">
        <v>0.4223194748358862</v>
      </c>
      <c r="D6" s="29" t="n">
        <v>0.04595185995623632</v>
      </c>
      <c r="E6" s="29" t="n">
        <v>0</v>
      </c>
      <c r="F6" s="29" t="n">
        <v>0</v>
      </c>
      <c r="G6" s="29" t="n">
        <v>0</v>
      </c>
      <c r="H6" s="29" t="n">
        <v>0</v>
      </c>
      <c r="I6" s="29" t="n">
        <v>0</v>
      </c>
    </row>
    <row r="7">
      <c r="A7" s="7" t="inlineStr">
        <is>
          <t>30-59 DPD</t>
        </is>
      </c>
      <c r="B7" s="29" t="n">
        <v>0</v>
      </c>
      <c r="C7" s="29" t="n">
        <v>0</v>
      </c>
      <c r="D7" s="28" t="n">
        <v>0.4769230769230769</v>
      </c>
      <c r="E7" s="30" t="n">
        <v>0.5230769230769231</v>
      </c>
      <c r="F7" s="29" t="n">
        <v>0</v>
      </c>
      <c r="G7" s="29" t="n">
        <v>0</v>
      </c>
      <c r="H7" s="29" t="n">
        <v>0</v>
      </c>
      <c r="I7" s="29" t="n">
        <v>0</v>
      </c>
    </row>
    <row r="8">
      <c r="A8" s="7" t="inlineStr">
        <is>
          <t>60-89 DPD</t>
        </is>
      </c>
      <c r="B8" s="29" t="n">
        <v>0</v>
      </c>
      <c r="C8" s="29" t="n">
        <v>0</v>
      </c>
      <c r="D8" s="29" t="n">
        <v>0</v>
      </c>
      <c r="E8" s="28" t="n">
        <v>0.6279069767441861</v>
      </c>
      <c r="F8" s="30" t="n">
        <v>0.2790697674418605</v>
      </c>
      <c r="G8" s="29" t="n">
        <v>0.09302325581395349</v>
      </c>
      <c r="H8" s="29" t="n">
        <v>0</v>
      </c>
      <c r="I8" s="29" t="n">
        <v>0</v>
      </c>
    </row>
    <row r="9">
      <c r="A9" s="7" t="inlineStr">
        <is>
          <t>90-119 DPD</t>
        </is>
      </c>
      <c r="B9" s="29" t="n">
        <v>0</v>
      </c>
      <c r="C9" s="29" t="n">
        <v>0</v>
      </c>
      <c r="D9" s="29" t="n">
        <v>0</v>
      </c>
      <c r="E9" s="29" t="n">
        <v>0</v>
      </c>
      <c r="F9" s="28" t="n">
        <v>0.7619047619047619</v>
      </c>
      <c r="G9" s="29" t="n">
        <v>0.126984126984127</v>
      </c>
      <c r="H9" s="29" t="n">
        <v>0.09523809523809523</v>
      </c>
      <c r="I9" s="29" t="n">
        <v>0.01587301587301587</v>
      </c>
    </row>
    <row r="10">
      <c r="A10" s="7" t="inlineStr">
        <is>
          <t>120+ DPD</t>
        </is>
      </c>
      <c r="B10" s="29" t="n">
        <v>0</v>
      </c>
      <c r="C10" s="29" t="n">
        <v>0</v>
      </c>
      <c r="D10" s="29" t="n">
        <v>0</v>
      </c>
      <c r="E10" s="29" t="n">
        <v>0</v>
      </c>
      <c r="F10" s="29" t="n">
        <v>0</v>
      </c>
      <c r="G10" s="28" t="n">
        <v>0.8666666666666667</v>
      </c>
      <c r="H10" s="29" t="n">
        <v>0.06666666666666667</v>
      </c>
      <c r="I10" s="29" t="n">
        <v>0.06666666666666667</v>
      </c>
    </row>
    <row r="11">
      <c r="A11" s="7" t="inlineStr">
        <is>
          <t>Default</t>
        </is>
      </c>
      <c r="B11" s="29" t="n">
        <v>0</v>
      </c>
      <c r="C11" s="29" t="n">
        <v>0</v>
      </c>
      <c r="D11" s="29" t="n">
        <v>0</v>
      </c>
      <c r="E11" s="29" t="n">
        <v>0</v>
      </c>
      <c r="F11" s="29" t="n">
        <v>0</v>
      </c>
      <c r="G11" s="29" t="n">
        <v>0</v>
      </c>
      <c r="H11" s="28" t="n">
        <v>1</v>
      </c>
      <c r="I11" s="29" t="n">
        <v>0</v>
      </c>
    </row>
    <row r="12">
      <c r="A12" s="7" t="inlineStr">
        <is>
          <t>Repossessed</t>
        </is>
      </c>
      <c r="B12" s="29" t="n">
        <v>0</v>
      </c>
      <c r="C12" s="29" t="n">
        <v>0</v>
      </c>
      <c r="D12" s="29" t="n">
        <v>0</v>
      </c>
      <c r="E12" s="29" t="n">
        <v>0</v>
      </c>
      <c r="F12" s="29" t="n">
        <v>0</v>
      </c>
      <c r="G12" s="29" t="n">
        <v>0</v>
      </c>
      <c r="H12" s="29" t="n">
        <v>0</v>
      </c>
      <c r="I12" s="28" t="n">
        <v>0</v>
      </c>
    </row>
    <row r="15">
      <c r="A15" s="23" t="inlineStr">
        <is>
          <t>CRITICAL DELINQUENCY MIGRATION OBSERVATIONS:</t>
        </is>
      </c>
    </row>
    <row r="16">
      <c r="A16" t="inlineStr">
        <is>
          <t>1. Current Accounts Stability: 93.25% of Current accounts remain performing month-over-month.</t>
        </is>
      </c>
    </row>
    <row r="17">
      <c r="A17" t="inlineStr">
        <is>
          <t>2. Delinquency Roll Hazard: 30-59 DPD loans have a 52.31% roll rate into 60-89 DPD, reflecting accelerated distress.</t>
        </is>
      </c>
    </row>
    <row r="18">
      <c r="A18" t="inlineStr">
        <is>
          <t>3. Default Transition: 27.91% of 60-89 DPD loans roll into 90+ DPD / Default status, necessitating early contact protocols.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DYNAMIC LOSS, RECOVERY &amp; PREPAYMENT PERFORMANCE (12-MONTH POOL LEVEL)</t>
        </is>
      </c>
    </row>
    <row r="2">
      <c r="A2" s="2" t="inlineStr">
        <is>
          <t>Monthly gross defaults, recoveries, net loss rates, SMM, CPR, and collection efficiencies</t>
        </is>
      </c>
    </row>
    <row r="4">
      <c r="A4" s="3" t="inlineStr">
        <is>
          <t>Reporting Date</t>
        </is>
      </c>
      <c r="B4" s="3" t="inlineStr">
        <is>
          <t>BOP Balance (INR)</t>
        </is>
      </c>
      <c r="C4" s="3" t="inlineStr">
        <is>
          <t>New Defaults Count</t>
        </is>
      </c>
      <c r="D4" s="3" t="inlineStr">
        <is>
          <t>New Defaults Balance</t>
        </is>
      </c>
      <c r="E4" s="3" t="inlineStr">
        <is>
          <t>Gross Loss (INR)</t>
        </is>
      </c>
      <c r="F4" s="3" t="inlineStr">
        <is>
          <t>Recoveries (INR)</t>
        </is>
      </c>
      <c r="G4" s="3" t="inlineStr">
        <is>
          <t>Net Loss (INR)</t>
        </is>
      </c>
      <c r="H4" s="3" t="inlineStr">
        <is>
          <t>Prepayments (INR)</t>
        </is>
      </c>
      <c r="I4" s="3" t="inlineStr">
        <is>
          <t>EOP Balance (INR)</t>
        </is>
      </c>
      <c r="J4" s="3" t="inlineStr">
        <is>
          <t>Collection Efficiency %</t>
        </is>
      </c>
      <c r="K4" s="3" t="inlineStr">
        <is>
          <t>Monthly Net Loss %</t>
        </is>
      </c>
      <c r="L4" s="3" t="inlineStr">
        <is>
          <t>SMM %</t>
        </is>
      </c>
      <c r="M4" s="3" t="inlineStr">
        <is>
          <t>Annualised CPR %</t>
        </is>
      </c>
    </row>
    <row r="5">
      <c r="A5" s="5" t="inlineStr">
        <is>
          <t>2023-12-30</t>
        </is>
      </c>
      <c r="B5" s="16" t="n">
        <v>542637916.38</v>
      </c>
      <c r="C5" s="5" t="n">
        <v>2</v>
      </c>
      <c r="D5" s="16" t="n">
        <v>2002757.32</v>
      </c>
      <c r="E5" s="16" t="n">
        <v>1290126.42</v>
      </c>
      <c r="F5" s="16" t="n">
        <v>475101.3</v>
      </c>
      <c r="G5" s="16" t="n">
        <v>815025.12</v>
      </c>
      <c r="H5" s="16" t="n">
        <v>5076436.11</v>
      </c>
      <c r="I5" s="16" t="n">
        <v>524914934.07</v>
      </c>
      <c r="J5" s="17" t="n">
        <v>1.3873</v>
      </c>
      <c r="K5" s="17" t="n">
        <v>0.001502</v>
      </c>
      <c r="L5" s="17" t="n">
        <v>0.009542</v>
      </c>
      <c r="M5" s="17" t="n">
        <v>0.108685</v>
      </c>
    </row>
    <row r="6">
      <c r="A6" s="5" t="inlineStr">
        <is>
          <t>2024-01-30</t>
        </is>
      </c>
      <c r="B6" s="16" t="n">
        <v>545100958.67</v>
      </c>
      <c r="C6" s="5" t="n">
        <v>5</v>
      </c>
      <c r="D6" s="16" t="n">
        <v>1957975.41</v>
      </c>
      <c r="E6" s="16" t="n">
        <v>1281725.93</v>
      </c>
      <c r="F6" s="16" t="n">
        <v>430445.67</v>
      </c>
      <c r="G6" s="16" t="n">
        <v>851280.26</v>
      </c>
      <c r="H6" s="16" t="n">
        <v>2797416.51</v>
      </c>
      <c r="I6" s="16" t="n">
        <v>529945198.82</v>
      </c>
      <c r="J6" s="17" t="n">
        <v>1.2143</v>
      </c>
      <c r="K6" s="17" t="n">
        <v>0.001562</v>
      </c>
      <c r="L6" s="17" t="n">
        <v>0.005232</v>
      </c>
      <c r="M6" s="17" t="n">
        <v>0.061006</v>
      </c>
    </row>
    <row r="7">
      <c r="A7" s="5" t="inlineStr">
        <is>
          <t>2024-02-28</t>
        </is>
      </c>
      <c r="B7" s="16" t="n">
        <v>526668698.13</v>
      </c>
      <c r="C7" s="5" t="n">
        <v>2</v>
      </c>
      <c r="D7" s="16" t="n">
        <v>1785560.51</v>
      </c>
      <c r="E7" s="16" t="n">
        <v>1041427.09</v>
      </c>
      <c r="F7" s="16" t="n">
        <v>315313.73</v>
      </c>
      <c r="G7" s="16" t="n">
        <v>726113.36</v>
      </c>
      <c r="H7" s="16" t="n">
        <v>4938969.04</v>
      </c>
      <c r="I7" s="16" t="n">
        <v>509875899.78</v>
      </c>
      <c r="J7" s="17" t="n">
        <v>1.3605</v>
      </c>
      <c r="K7" s="17" t="n">
        <v>0.001379</v>
      </c>
      <c r="L7" s="17" t="n">
        <v>0.009561</v>
      </c>
      <c r="M7" s="17" t="n">
        <v>0.108882</v>
      </c>
    </row>
    <row r="8">
      <c r="A8" s="5" t="inlineStr">
        <is>
          <t>2024-03-30</t>
        </is>
      </c>
      <c r="B8" s="16" t="n">
        <v>522623100.66</v>
      </c>
      <c r="C8" s="5" t="n">
        <v>1</v>
      </c>
      <c r="D8" s="16" t="n">
        <v>1970194.34</v>
      </c>
      <c r="E8" s="16" t="n">
        <v>1314348.51</v>
      </c>
      <c r="F8" s="16" t="n">
        <v>536180.09</v>
      </c>
      <c r="G8" s="16" t="n">
        <v>778168.42</v>
      </c>
      <c r="H8" s="16" t="n">
        <v>5456620.05</v>
      </c>
      <c r="I8" s="16" t="n">
        <v>505099075.28</v>
      </c>
      <c r="J8" s="17" t="n">
        <v>1.421</v>
      </c>
      <c r="K8" s="17" t="n">
        <v>0.001489</v>
      </c>
      <c r="L8" s="17" t="n">
        <v>0.010647</v>
      </c>
      <c r="M8" s="17" t="n">
        <v>0.120537</v>
      </c>
    </row>
    <row r="9">
      <c r="A9" s="5" t="inlineStr">
        <is>
          <t>2024-04-30</t>
        </is>
      </c>
      <c r="B9" s="16" t="n">
        <v>525648455.74</v>
      </c>
      <c r="C9" s="5" t="n">
        <v>5</v>
      </c>
      <c r="D9" s="16" t="n">
        <v>1889937.77</v>
      </c>
      <c r="E9" s="16" t="n">
        <v>1188511.72</v>
      </c>
      <c r="F9" s="16" t="n">
        <v>477359.38</v>
      </c>
      <c r="G9" s="16" t="n">
        <v>711152.34</v>
      </c>
      <c r="H9" s="16" t="n">
        <v>5647154.4</v>
      </c>
      <c r="I9" s="16" t="n">
        <v>507744304.05</v>
      </c>
      <c r="J9" s="17" t="n">
        <v>1.4419</v>
      </c>
      <c r="K9" s="17" t="n">
        <v>0.001353</v>
      </c>
      <c r="L9" s="17" t="n">
        <v>0.010959</v>
      </c>
      <c r="M9" s="17" t="n">
        <v>0.123868</v>
      </c>
    </row>
    <row r="10">
      <c r="A10" s="5" t="inlineStr">
        <is>
          <t>2024-05-30</t>
        </is>
      </c>
      <c r="B10" s="16" t="n">
        <v>517763703.79</v>
      </c>
      <c r="C10" s="5" t="n">
        <v>4</v>
      </c>
      <c r="D10" s="16" t="n">
        <v>1938580.14</v>
      </c>
      <c r="E10" s="16" t="n">
        <v>1337646.07</v>
      </c>
      <c r="F10" s="16" t="n">
        <v>382797.78</v>
      </c>
      <c r="G10" s="16" t="n">
        <v>954848.29</v>
      </c>
      <c r="H10" s="16" t="n">
        <v>4676920.16</v>
      </c>
      <c r="I10" s="16" t="n">
        <v>502268151.41</v>
      </c>
      <c r="J10" s="17" t="n">
        <v>1.283</v>
      </c>
      <c r="K10" s="17" t="n">
        <v>0.001844</v>
      </c>
      <c r="L10" s="17" t="n">
        <v>0.009191</v>
      </c>
      <c r="M10" s="17" t="n">
        <v>0.104879</v>
      </c>
    </row>
    <row r="11">
      <c r="A11" s="5" t="inlineStr">
        <is>
          <t>2024-05-30</t>
        </is>
      </c>
      <c r="B11" s="16" t="n">
        <v>519858530.58</v>
      </c>
      <c r="C11" s="5" t="n">
        <v>1</v>
      </c>
      <c r="D11" s="16" t="n">
        <v>1332041.68</v>
      </c>
      <c r="E11" s="16" t="n">
        <v>945028.3199999999</v>
      </c>
      <c r="F11" s="16" t="n">
        <v>366204.63</v>
      </c>
      <c r="G11" s="16" t="n">
        <v>578823.6899999999</v>
      </c>
      <c r="H11" s="16" t="n">
        <v>5924450.58</v>
      </c>
      <c r="I11" s="16" t="n">
        <v>503656005.74</v>
      </c>
      <c r="J11" s="17" t="n">
        <v>1.3682</v>
      </c>
      <c r="K11" s="17" t="n">
        <v>0.001113</v>
      </c>
      <c r="L11" s="17" t="n">
        <v>0.011596</v>
      </c>
      <c r="M11" s="17" t="n">
        <v>0.13061</v>
      </c>
    </row>
    <row r="12">
      <c r="A12" s="5" t="inlineStr">
        <is>
          <t>2024-06-30</t>
        </is>
      </c>
      <c r="B12" s="16" t="n">
        <v>514958455.08</v>
      </c>
      <c r="C12" s="5" t="n">
        <v>2</v>
      </c>
      <c r="D12" s="16" t="n">
        <v>1105172.72</v>
      </c>
      <c r="E12" s="16" t="n">
        <v>707342.6899999999</v>
      </c>
      <c r="F12" s="16" t="n">
        <v>249155.72</v>
      </c>
      <c r="G12" s="16" t="n">
        <v>458186.97</v>
      </c>
      <c r="H12" s="16" t="n">
        <v>3471268.46</v>
      </c>
      <c r="I12" s="16" t="n">
        <v>500361794.37</v>
      </c>
      <c r="J12" s="17" t="n">
        <v>1.2744</v>
      </c>
      <c r="K12" s="17" t="n">
        <v>0.0008899999999999999</v>
      </c>
      <c r="L12" s="17" t="n">
        <v>0.006875</v>
      </c>
      <c r="M12" s="17" t="n">
        <v>0.079447</v>
      </c>
    </row>
    <row r="13">
      <c r="A13" s="5" t="inlineStr">
        <is>
          <t>2024-07-30</t>
        </is>
      </c>
      <c r="B13" s="16" t="n">
        <v>506148667.95</v>
      </c>
      <c r="C13" s="5" t="n">
        <v>6</v>
      </c>
      <c r="D13" s="16" t="n">
        <v>1483220.45</v>
      </c>
      <c r="E13" s="16" t="n">
        <v>845514.95</v>
      </c>
      <c r="F13" s="16" t="n">
        <v>311675.75</v>
      </c>
      <c r="G13" s="16" t="n">
        <v>533839.2</v>
      </c>
      <c r="H13" s="16" t="n">
        <v>2859041.63</v>
      </c>
      <c r="I13" s="16" t="n">
        <v>493343709.4</v>
      </c>
      <c r="J13" s="17" t="n">
        <v>1.1423</v>
      </c>
      <c r="K13" s="17" t="n">
        <v>0.001055</v>
      </c>
      <c r="L13" s="17" t="n">
        <v>0.005745</v>
      </c>
      <c r="M13" s="17" t="n">
        <v>0.066799</v>
      </c>
    </row>
    <row r="14">
      <c r="A14" s="5" t="inlineStr">
        <is>
          <t>2024-08-30</t>
        </is>
      </c>
      <c r="B14" s="16" t="n">
        <v>503635609.17</v>
      </c>
      <c r="C14" s="5" t="n">
        <v>1</v>
      </c>
      <c r="D14" s="16" t="n">
        <v>1315079.96</v>
      </c>
      <c r="E14" s="16" t="n">
        <v>959432.09</v>
      </c>
      <c r="F14" s="16" t="n">
        <v>405255.55</v>
      </c>
      <c r="G14" s="16" t="n">
        <v>554176.54</v>
      </c>
      <c r="H14" s="16" t="n">
        <v>4081426.89</v>
      </c>
      <c r="I14" s="16" t="n">
        <v>488770653.48</v>
      </c>
      <c r="J14" s="17" t="n">
        <v>1.311</v>
      </c>
      <c r="K14" s="17" t="n">
        <v>0.0011</v>
      </c>
      <c r="L14" s="17" t="n">
        <v>0.008259000000000001</v>
      </c>
      <c r="M14" s="17" t="n">
        <v>0.09472999999999999</v>
      </c>
    </row>
    <row r="15">
      <c r="A15" s="5" t="inlineStr">
        <is>
          <t>2024-09-30</t>
        </is>
      </c>
      <c r="B15" s="16" t="n">
        <v>486751610.6</v>
      </c>
      <c r="C15" s="5" t="n">
        <v>1</v>
      </c>
      <c r="D15" s="16" t="n">
        <v>867929.9300000001</v>
      </c>
      <c r="E15" s="16" t="n">
        <v>568012.85</v>
      </c>
      <c r="F15" s="16" t="n">
        <v>164533.59</v>
      </c>
      <c r="G15" s="16" t="n">
        <v>403479.26</v>
      </c>
      <c r="H15" s="16" t="n">
        <v>2592682.45</v>
      </c>
      <c r="I15" s="16" t="n">
        <v>474230244.27</v>
      </c>
      <c r="J15" s="17" t="n">
        <v>1.1885</v>
      </c>
      <c r="K15" s="17" t="n">
        <v>0.000829</v>
      </c>
      <c r="L15" s="17" t="n">
        <v>0.005428</v>
      </c>
      <c r="M15" s="17" t="n">
        <v>0.063221</v>
      </c>
    </row>
    <row r="16">
      <c r="A16" s="5" t="inlineStr">
        <is>
          <t>2024-10-30</t>
        </is>
      </c>
      <c r="B16" s="16" t="n">
        <v>481475300.96</v>
      </c>
      <c r="C16" s="5" t="n">
        <v>2</v>
      </c>
      <c r="D16" s="16" t="n">
        <v>1121234.48</v>
      </c>
      <c r="E16" s="16" t="n">
        <v>738154.1</v>
      </c>
      <c r="F16" s="16" t="n">
        <v>319091.95</v>
      </c>
      <c r="G16" s="16" t="n">
        <v>419062.15</v>
      </c>
      <c r="H16" s="16" t="n">
        <v>2301243.67</v>
      </c>
      <c r="I16" s="16" t="n">
        <v>470149504.89</v>
      </c>
      <c r="J16" s="17" t="n">
        <v>1.102</v>
      </c>
      <c r="K16" s="17" t="n">
        <v>0.00087</v>
      </c>
      <c r="L16" s="17" t="n">
        <v>0.004859</v>
      </c>
      <c r="M16" s="17" t="n">
        <v>0.056778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SECURITISATION RISK ARENA - 5-YEAR PRO-FORMA FINANCIAL MODEL</t>
        </is>
      </c>
    </row>
    <row r="2">
      <c r="A2" s="2" t="inlineStr">
        <is>
          <t>Commercialization roadmap across Enterprise B2B SaaS, Retail NISM/CFA, University Licensing, and Certifications</t>
        </is>
      </c>
    </row>
    <row r="4">
      <c r="A4" s="3" t="inlineStr">
        <is>
          <t>Revenue Stream &amp; Metric</t>
        </is>
      </c>
      <c r="B4" s="3" t="inlineStr">
        <is>
          <t>Pricing / Unit Rate</t>
        </is>
      </c>
      <c r="C4" s="3" t="inlineStr">
        <is>
          <t>Year 1 (₹ Lakh)</t>
        </is>
      </c>
      <c r="D4" s="3" t="inlineStr">
        <is>
          <t>Year 2 (₹ Lakh)</t>
        </is>
      </c>
      <c r="E4" s="3" t="inlineStr">
        <is>
          <t>Year 3 (₹ Lakh)</t>
        </is>
      </c>
      <c r="F4" s="3" t="inlineStr">
        <is>
          <t>Year 4 (₹ Lakh)</t>
        </is>
      </c>
      <c r="G4" s="3" t="inlineStr">
        <is>
          <t>Year 5 (₹ Lakh)</t>
        </is>
      </c>
    </row>
    <row r="5">
      <c r="A5" s="6" t="inlineStr">
        <is>
          <t>1. B2B Enterprise SaaS (Bank &amp; NBFC Teams)</t>
        </is>
      </c>
      <c r="B5" s="5" t="inlineStr">
        <is>
          <t>₹15,000 / user / yr</t>
        </is>
      </c>
      <c r="C5" s="31" t="n">
        <v>6</v>
      </c>
      <c r="D5" s="31" t="n">
        <v>90</v>
      </c>
      <c r="E5" s="31" t="n">
        <v>270</v>
      </c>
      <c r="F5" s="31" t="n">
        <v>675</v>
      </c>
      <c r="G5" s="31" t="n">
        <v>1200</v>
      </c>
    </row>
    <row r="6">
      <c r="A6" s="6" t="inlineStr">
        <is>
          <t>2. Retail NISM / CFA Candidate Modules</t>
        </is>
      </c>
      <c r="B6" s="5" t="inlineStr">
        <is>
          <t>₹4,999 / candidate</t>
        </is>
      </c>
      <c r="C6" s="31" t="n">
        <v>10</v>
      </c>
      <c r="D6" s="31" t="n">
        <v>25</v>
      </c>
      <c r="E6" s="31" t="n">
        <v>100</v>
      </c>
      <c r="F6" s="31" t="n">
        <v>250</v>
      </c>
      <c r="G6" s="31" t="n">
        <v>500</v>
      </c>
    </row>
    <row r="7">
      <c r="A7" s="6" t="inlineStr">
        <is>
          <t>3. University / B-School Campus Licenses</t>
        </is>
      </c>
      <c r="B7" s="5" t="inlineStr">
        <is>
          <t>₹4,00,000 / institution</t>
        </is>
      </c>
      <c r="C7" s="31" t="n">
        <v>0</v>
      </c>
      <c r="D7" s="31" t="n">
        <v>12</v>
      </c>
      <c r="E7" s="31" t="n">
        <v>40</v>
      </c>
      <c r="F7" s="31" t="n">
        <v>80</v>
      </c>
      <c r="G7" s="31" t="n">
        <v>140</v>
      </c>
    </row>
    <row r="8">
      <c r="A8" s="6" t="inlineStr">
        <is>
          <t>4. Zetheta Securitisation Analytics Certifications</t>
        </is>
      </c>
      <c r="B8" s="5" t="inlineStr">
        <is>
          <t>₹7,999 / certificate</t>
        </is>
      </c>
      <c r="C8" s="31" t="n">
        <v>0</v>
      </c>
      <c r="D8" s="31" t="n">
        <v>0</v>
      </c>
      <c r="E8" s="31" t="n">
        <v>110</v>
      </c>
      <c r="F8" s="31" t="n">
        <v>195</v>
      </c>
      <c r="G8" s="31" t="n">
        <v>360</v>
      </c>
    </row>
    <row r="9">
      <c r="A9" s="32" t="inlineStr">
        <is>
          <t>TOTAL PROJECTED ANNUAL REVENUE</t>
        </is>
      </c>
      <c r="B9" s="33" t="inlineStr">
        <is>
          <t>-</t>
        </is>
      </c>
      <c r="C9" s="34">
        <f>SUM(C5:C8)</f>
        <v/>
      </c>
      <c r="D9" s="34">
        <f>SUM(D5:D8)</f>
        <v/>
      </c>
      <c r="E9" s="34">
        <f>SUM(E5:E8)</f>
        <v/>
      </c>
      <c r="F9" s="34">
        <f>SUM(F5:F8)</f>
        <v/>
      </c>
      <c r="G9" s="34">
        <f>SUM(G5:G8)</f>
        <v/>
      </c>
    </row>
    <row r="10">
      <c r="A10" s="6" t="inlineStr">
        <is>
          <t>Cost of Goods Sold (AWS Hosting &amp; AI Tokens)</t>
        </is>
      </c>
      <c r="B10" s="5" t="inlineStr">
        <is>
          <t>12% of Revenue</t>
        </is>
      </c>
      <c r="C10" s="31">
        <f>C9*0.12</f>
        <v/>
      </c>
      <c r="D10" s="31">
        <f>D9*0.12</f>
        <v/>
      </c>
      <c r="E10" s="31">
        <f>E9*0.12</f>
        <v/>
      </c>
      <c r="F10" s="31">
        <f>F9*0.12</f>
        <v/>
      </c>
      <c r="G10" s="31">
        <f>G9*0.12</f>
        <v/>
      </c>
    </row>
    <row r="11">
      <c r="A11" s="7" t="inlineStr">
        <is>
          <t>GROSS PROFIT</t>
        </is>
      </c>
      <c r="B11" s="35" t="inlineStr">
        <is>
          <t>-</t>
        </is>
      </c>
      <c r="C11" s="36">
        <f>C9-C10</f>
        <v/>
      </c>
      <c r="D11" s="36">
        <f>D9-D10</f>
        <v/>
      </c>
      <c r="E11" s="36">
        <f>E9-E10</f>
        <v/>
      </c>
      <c r="F11" s="36">
        <f>F9-F10</f>
        <v/>
      </c>
      <c r="G11" s="36">
        <f>G9-G10</f>
        <v/>
      </c>
    </row>
    <row r="12">
      <c r="A12" s="6" t="inlineStr">
        <is>
          <t>Operating Expenses (R&amp;D, Content, Sales)</t>
        </is>
      </c>
      <c r="B12" s="5" t="inlineStr">
        <is>
          <t>Fixed + Scaling</t>
        </is>
      </c>
      <c r="C12" s="31" t="n">
        <v>10</v>
      </c>
      <c r="D12" s="31" t="n">
        <v>45</v>
      </c>
      <c r="E12" s="31" t="n">
        <v>110</v>
      </c>
      <c r="F12" s="31" t="n">
        <v>220</v>
      </c>
      <c r="G12" s="31" t="n">
        <v>380</v>
      </c>
    </row>
    <row r="13">
      <c r="A13" s="32" t="inlineStr">
        <is>
          <t>EBITDA (OPERATING EARNINGS)</t>
        </is>
      </c>
      <c r="B13" s="33" t="inlineStr">
        <is>
          <t>-</t>
        </is>
      </c>
      <c r="C13" s="34">
        <f>C11-C12</f>
        <v/>
      </c>
      <c r="D13" s="34">
        <f>D11-D12</f>
        <v/>
      </c>
      <c r="E13" s="34">
        <f>E11-E12</f>
        <v/>
      </c>
      <c r="F13" s="34">
        <f>F11-F12</f>
        <v/>
      </c>
      <c r="G13" s="34">
        <f>G11-G12</f>
        <v/>
      </c>
    </row>
    <row r="14">
      <c r="A14" s="32" t="inlineStr">
        <is>
          <t>EBITDA Margin (%)</t>
        </is>
      </c>
      <c r="B14" s="33" t="inlineStr">
        <is>
          <t>-</t>
        </is>
      </c>
      <c r="C14" s="37">
        <f>C13/C9</f>
        <v/>
      </c>
      <c r="D14" s="37">
        <f>D13/D9</f>
        <v/>
      </c>
      <c r="E14" s="37">
        <f>E13/E9</f>
        <v/>
      </c>
      <c r="F14" s="37">
        <f>F13/F9</f>
        <v/>
      </c>
      <c r="G14" s="37">
        <f>G13/G9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2026-10-11T05:07:42Z</dcterms:created>
  <dcterms:modified xsi:type="dcterms:W3CDTF">2026-10-11T05:07:42Z</dcterms:modified>
</cp:coreProperties>
</file>